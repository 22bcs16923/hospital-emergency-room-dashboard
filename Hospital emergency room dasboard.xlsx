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EC46AA47ABCA93B0/Documents/"/>
    </mc:Choice>
  </mc:AlternateContent>
  <xr:revisionPtr revIDLastSave="110" documentId="8_{0AA6D52F-01BD-475E-AFA5-900CE8ACC1A2}" xr6:coauthVersionLast="47" xr6:coauthVersionMax="47" xr10:uidLastSave="{40854AF1-1720-4ECA-8BDC-AF2F4915FCE5}"/>
  <bookViews>
    <workbookView xWindow="-108" yWindow="-108" windowWidth="23256" windowHeight="12456" activeTab="1" xr2:uid="{AAB47630-D454-483B-AE26-04BC05736D6B}"/>
  </bookViews>
  <sheets>
    <sheet name="PIVOT REPORT" sheetId="1" r:id="rId1"/>
    <sheet name="DASHBOARD" sheetId="2" r:id="rId2"/>
    <sheet name="Daily ER Patient No" sheetId="3" r:id="rId3"/>
    <sheet name="Avg wait time" sheetId="4" r:id="rId4"/>
    <sheet name="Avg satisfaction score" sheetId="5" r:id="rId5"/>
  </sheets>
  <definedNames>
    <definedName name="Slicer_Date__Month">#N/A</definedName>
    <definedName name="Slicer_Date__Year">#N/A</definedName>
  </definedNames>
  <calcPr calcId="191029"/>
  <pivotCaches>
    <pivotCache cacheId="483" r:id="rId6"/>
    <pivotCache cacheId="486" r:id="rId7"/>
    <pivotCache cacheId="489" r:id="rId8"/>
    <pivotCache cacheId="492" r:id="rId9"/>
    <pivotCache cacheId="495" r:id="rId10"/>
    <pivotCache cacheId="498" r:id="rId11"/>
    <pivotCache cacheId="501" r:id="rId12"/>
    <pivotCache cacheId="504" r:id="rId13"/>
    <pivotCache cacheId="507" r:id="rId14"/>
    <pivotCache cacheId="510" r:id="rId15"/>
    <pivotCache cacheId="513" r:id="rId16"/>
    <pivotCache cacheId="516"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302ab25-f2ba-4b58-b738-97fc7b34d186" name="Hospital Emergency Room Data" connection="Query - Hospital Emergency Room Data"/>
          <x15:modelTable id="Calander_Table_7c2a6ae4-b01c-4e8e-a599-04d6219c3c42" name="Calander_Table" connection="Query - Calander_Table"/>
        </x15:modelTables>
        <x15:modelRelationships>
          <x15:modelRelationship fromTable="Hospital Emergency Room Data" fromColumn="Patient Admission Date" toTable="Calander_Table" toColumn="Date"/>
        </x15:modelRelationships>
        <x15:extLst>
          <ext xmlns:x16="http://schemas.microsoft.com/office/spreadsheetml/2014/11/main" uri="{9835A34E-60A6-4A7C-AAB8-D5F71C897F49}">
            <x16:modelTimeGroupings>
              <x16:modelTimeGrouping tableName="Cala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 i="1" l="1"/>
  <c r="B44" i="1"/>
  <c r="C44" i="1"/>
  <c r="B45" i="1"/>
  <c r="C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8EB63F-27C4-4D20-9F33-4C4E34333F0F}" name="Query - Calander_Table" description="Connection to the 'Calander_Table' query in the workbook." type="100" refreshedVersion="8" minRefreshableVersion="5">
    <extLst>
      <ext xmlns:x15="http://schemas.microsoft.com/office/spreadsheetml/2010/11/main" uri="{DE250136-89BD-433C-8126-D09CA5730AF9}">
        <x15:connection id="9ade8ed5-9140-45b0-9853-45e51c6ec4e1"/>
      </ext>
    </extLst>
  </connection>
  <connection id="2" xr16:uid="{8DF66C1A-19C6-40CB-BD28-90CD493943F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b7db14a-5657-41f7-9497-2a81038c1f58"/>
      </ext>
    </extLst>
  </connection>
  <connection id="3" xr16:uid="{BBE7A2F3-DE01-42BE-B9E4-AD2DCE4428E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<sst xmlns="http://schemas.openxmlformats.org/spreadsheetml/2006/main" count="153" uniqueCount="72">
  <si>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Distinct Count of Patient Id</t>
  </si>
  <si>
    <t>No. of patient</t>
  </si>
  <si>
    <t>Average of Patient Waittime</t>
  </si>
  <si>
    <t>Average of Patient Satisfaction Score</t>
  </si>
  <si>
    <t>Row Labels</t>
  </si>
  <si>
    <t>Grand Total</t>
  </si>
  <si>
    <t xml:space="preserve">For patient in er room </t>
  </si>
  <si>
    <t>For avg wait time</t>
  </si>
  <si>
    <t xml:space="preserve">For avg satisfaction score </t>
  </si>
  <si>
    <t>Admitted</t>
  </si>
  <si>
    <t>Not admitted</t>
  </si>
  <si>
    <t>Count of Patient Admission Flag</t>
  </si>
  <si>
    <t>Count of Patient Admission Flag2</t>
  </si>
  <si>
    <t>Count of Age Group</t>
  </si>
  <si>
    <t>Admission Status</t>
  </si>
  <si>
    <t>% Status</t>
  </si>
  <si>
    <t>No of Patient</t>
  </si>
  <si>
    <t>0-09</t>
  </si>
  <si>
    <t>10-19</t>
  </si>
  <si>
    <t>20-29</t>
  </si>
  <si>
    <t>30-39</t>
  </si>
  <si>
    <t>40-49</t>
  </si>
  <si>
    <t>50-59</t>
  </si>
  <si>
    <t>60-69</t>
  </si>
  <si>
    <t>70-79</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</si>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</sst>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3" borderId="0" xfId="0" applyFill="1"/>
    <xf numFmtId="0" fontId="1" fillId="0" borderId="0" xfId="0" applyFont="1" applyAlignment="1">
      <alignment horizontal="center"/>
    </xf>
    <xf numFmtId="10" fontId="1" fillId="0" borderId="0" xfId="0" applyNumberFormat="1" applyFont="1" applyAlignment="1">
      <alignment horizontal="center"/>
    </xf>
    <xf numFmtId="0" fontId="1" fillId="4" borderId="0" xfId="0" applyFont="1" applyFill="1" applyAlignment="1">
      <alignment horizontal="center"/>
    </xf>
    <xf numFmtId="0" fontId="0" fillId="4" borderId="0" xfId="0" applyFill="1"/>
    <xf numFmtId="0" fontId="0" fillId="0" borderId="0" xfId="0" applyNumberFormat="1"/>
  </cellXfs>
  <cellStyles count="1">
    <cellStyle name="Normal" xfId="0" builtinId="0"/>
  </cellStyles>
  <dxfs count="182">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0" formatCode="General"/>
    </dxf>
    <dxf>
      <numFmt numFmtId="2" formatCode="0.00"/>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B1186B19-6214-457E-BA96-FDFBEA4156B9}">
      <tableStyleElement type="wholeTable" dxfId="181"/>
      <tableStyleElement type="headerRow" dxfId="1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REPORT!PivotTable7</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wrap="square" lIns="38100" tIns="19050" rIns="38100" bIns="19050" anchor="ctr">
                <a:spAutoFit/>
              </a:bodyPr>
              <a:lstStyle/>
              <a:p>
                <a:pPr>
                  <a:defRPr/>
                </a:pPr>
                <a:fld id="{19148BA2-C4F7-4478-962B-B915839047E2}"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wrap="square" lIns="38100" tIns="19050" rIns="38100" bIns="19050" anchor="ctr">
                <a:spAutoFit/>
              </a:bodyPr>
              <a:lstStyle/>
              <a:p>
                <a:pPr>
                  <a:defRPr/>
                </a:pPr>
                <a:fld id="{3F4BDCC6-E20A-40F1-9D7E-809471D8C9BC}"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3237085820711792E-4"/>
          <c:y val="3.5095972550469108E-3"/>
          <c:w val="0.88709325569074748"/>
          <c:h val="0.99649040274495304"/>
        </c:manualLayout>
      </c:layout>
      <c:barChart>
        <c:barDir val="bar"/>
        <c:grouping val="clustered"/>
        <c:varyColors val="0"/>
        <c:ser>
          <c:idx val="0"/>
          <c:order val="0"/>
          <c:tx>
            <c:strRef>
              <c:f>'PIVOT REPORT'!$C$38:$C$39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DF31-4932-8F73-D5EA1DB90B34}"/>
              </c:ext>
            </c:extLst>
          </c:dPt>
          <c:dPt>
            <c:idx val="1"/>
            <c:invertIfNegative val="0"/>
            <c:bubble3D val="0"/>
            <c:extLst>
              <c:ext xmlns:c16="http://schemas.microsoft.com/office/drawing/2014/chart" uri="{C3380CC4-5D6E-409C-BE32-E72D297353CC}">
                <c16:uniqueId val="{00000006-DF31-4932-8F73-D5EA1DB90B34}"/>
              </c:ext>
            </c:extLst>
          </c:dPt>
          <c:cat>
            <c:strRef>
              <c:f>'PIVOT REPORT'!$C$38:$C$39</c:f>
              <c:strCache>
                <c:ptCount val="2"/>
                <c:pt idx="0">
                  <c:v>Admitted</c:v>
                </c:pt>
                <c:pt idx="1">
                  <c:v>Not admitted</c:v>
                </c:pt>
              </c:strCache>
            </c:strRef>
          </c:cat>
          <c:val>
            <c:numRef>
              <c:f>'PIVOT REPORT'!$C$38:$C$39</c:f>
              <c:numCache>
                <c:formatCode>General</c:formatCode>
                <c:ptCount val="2"/>
                <c:pt idx="0">
                  <c:v>266</c:v>
                </c:pt>
                <c:pt idx="1">
                  <c:v>253</c:v>
                </c:pt>
              </c:numCache>
            </c:numRef>
          </c:val>
          <c:extLst>
            <c:ext xmlns:c16="http://schemas.microsoft.com/office/drawing/2014/chart" uri="{C3380CC4-5D6E-409C-BE32-E72D297353CC}">
              <c16:uniqueId val="{00000002-DF31-4932-8F73-D5EA1DB90B34}"/>
            </c:ext>
          </c:extLst>
        </c:ser>
        <c:ser>
          <c:idx val="1"/>
          <c:order val="1"/>
          <c:tx>
            <c:strRef>
              <c:f>'PIVOT REPORT'!$C$38:$C$39</c:f>
              <c:strCache>
                <c:ptCount val="1"/>
                <c:pt idx="0">
                  <c:v>Count of Patient Admission Flag2</c:v>
                </c:pt>
              </c:strCache>
            </c:strRef>
          </c:tx>
          <c:spPr>
            <a:solidFill>
              <a:schemeClr val="accent2"/>
            </a:solid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0.51252408477842004</c:v>
                </c:pt>
                <c:pt idx="1">
                  <c:v>0.48747591522157996</c:v>
                </c:pt>
              </c:numCache>
            </c:numRef>
          </c:val>
          <c:extLst>
            <c:ext xmlns:c16="http://schemas.microsoft.com/office/drawing/2014/chart" uri="{C3380CC4-5D6E-409C-BE32-E72D297353CC}">
              <c16:uniqueId val="{00000003-DF31-4932-8F73-D5EA1DB90B34}"/>
            </c:ext>
          </c:extLst>
        </c:ser>
        <c:dLbls>
          <c:showLegendKey val="0"/>
          <c:showVal val="0"/>
          <c:showCatName val="0"/>
          <c:showSerName val="0"/>
          <c:showPercent val="0"/>
          <c:showBubbleSize val="0"/>
        </c:dLbls>
        <c:gapWidth val="182"/>
        <c:axId val="495243071"/>
        <c:axId val="495245471"/>
      </c:barChart>
      <c:catAx>
        <c:axId val="495243071"/>
        <c:scaling>
          <c:orientation val="minMax"/>
        </c:scaling>
        <c:delete val="1"/>
        <c:axPos val="l"/>
        <c:numFmt formatCode="General" sourceLinked="1"/>
        <c:majorTickMark val="none"/>
        <c:minorTickMark val="none"/>
        <c:tickLblPos val="nextTo"/>
        <c:crossAx val="495245471"/>
        <c:crosses val="autoZero"/>
        <c:auto val="1"/>
        <c:lblAlgn val="ctr"/>
        <c:lblOffset val="100"/>
        <c:noMultiLvlLbl val="0"/>
      </c:catAx>
      <c:valAx>
        <c:axId val="495245471"/>
        <c:scaling>
          <c:orientation val="minMax"/>
        </c:scaling>
        <c:delete val="1"/>
        <c:axPos val="b"/>
        <c:numFmt formatCode="General" sourceLinked="1"/>
        <c:majorTickMark val="none"/>
        <c:minorTickMark val="none"/>
        <c:tickLblPos val="nextTo"/>
        <c:crossAx val="49524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26648139570797E-3"/>
          <c:y val="3.8539687976831813E-2"/>
          <c:w val="0.97933842828469986"/>
          <c:h val="0.9098963036776383"/>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REPORT'!$E$4:$E$35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7B8E-4A5A-BDCC-7A8276CF7B75}"/>
            </c:ext>
          </c:extLst>
        </c:ser>
        <c:dLbls>
          <c:showLegendKey val="0"/>
          <c:showVal val="0"/>
          <c:showCatName val="0"/>
          <c:showSerName val="0"/>
          <c:showPercent val="0"/>
          <c:showBubbleSize val="0"/>
        </c:dLbls>
        <c:axId val="1233794672"/>
        <c:axId val="1233793232"/>
      </c:areaChart>
      <c:catAx>
        <c:axId val="1233794672"/>
        <c:scaling>
          <c:orientation val="minMax"/>
        </c:scaling>
        <c:delete val="1"/>
        <c:axPos val="b"/>
        <c:numFmt formatCode="General" sourceLinked="1"/>
        <c:majorTickMark val="out"/>
        <c:minorTickMark val="none"/>
        <c:tickLblPos val="nextTo"/>
        <c:crossAx val="1233793232"/>
        <c:crosses val="autoZero"/>
        <c:auto val="1"/>
        <c:lblAlgn val="ctr"/>
        <c:lblOffset val="100"/>
        <c:noMultiLvlLbl val="0"/>
      </c:catAx>
      <c:valAx>
        <c:axId val="1233793232"/>
        <c:scaling>
          <c:orientation val="minMax"/>
        </c:scaling>
        <c:delete val="1"/>
        <c:axPos val="l"/>
        <c:numFmt formatCode="General" sourceLinked="1"/>
        <c:majorTickMark val="none"/>
        <c:minorTickMark val="none"/>
        <c:tickLblPos val="nextTo"/>
        <c:crossAx val="1233794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01790952601521E-3"/>
          <c:y val="0"/>
          <c:w val="0.99157982090473973"/>
          <c:h val="1"/>
        </c:manualLayout>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REPORT'!$J$4:$J$35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9B7A-4A81-8FB3-159F6ECD5800}"/>
            </c:ext>
          </c:extLst>
        </c:ser>
        <c:dLbls>
          <c:showLegendKey val="0"/>
          <c:showVal val="0"/>
          <c:showCatName val="0"/>
          <c:showSerName val="0"/>
          <c:showPercent val="0"/>
          <c:showBubbleSize val="0"/>
        </c:dLbls>
        <c:axId val="1241918064"/>
        <c:axId val="1241914704"/>
      </c:areaChart>
      <c:catAx>
        <c:axId val="1241918064"/>
        <c:scaling>
          <c:orientation val="minMax"/>
        </c:scaling>
        <c:delete val="1"/>
        <c:axPos val="b"/>
        <c:numFmt formatCode="General" sourceLinked="1"/>
        <c:majorTickMark val="out"/>
        <c:minorTickMark val="none"/>
        <c:tickLblPos val="nextTo"/>
        <c:crossAx val="1241914704"/>
        <c:crosses val="autoZero"/>
        <c:auto val="1"/>
        <c:lblAlgn val="ctr"/>
        <c:lblOffset val="100"/>
        <c:noMultiLvlLbl val="0"/>
      </c:catAx>
      <c:valAx>
        <c:axId val="1241914704"/>
        <c:scaling>
          <c:orientation val="minMax"/>
        </c:scaling>
        <c:delete val="1"/>
        <c:axPos val="l"/>
        <c:numFmt formatCode="0.00" sourceLinked="1"/>
        <c:majorTickMark val="none"/>
        <c:minorTickMark val="none"/>
        <c:tickLblPos val="nextTo"/>
        <c:crossAx val="1241918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REPORT'!$N$3</c:f>
              <c:strCache>
                <c:ptCount val="1"/>
                <c:pt idx="0">
                  <c:v>Total</c:v>
                </c:pt>
              </c:strCache>
            </c:strRef>
          </c:tx>
          <c:spPr>
            <a:solidFill>
              <a:schemeClr val="accent1"/>
            </a:solidFill>
            <a:ln w="25400">
              <a:noFill/>
            </a:ln>
            <a:effectLst/>
          </c:spPr>
          <c:cat>
            <c:strRef>
              <c:f>'PIVOT REPORT'!$M$4:$M$35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REPORT'!$N$4:$N$35</c:f>
              <c:numCache>
                <c:formatCode>General</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3587-475C-A796-40BEB9DA62EA}"/>
            </c:ext>
          </c:extLst>
        </c:ser>
        <c:dLbls>
          <c:showLegendKey val="0"/>
          <c:showVal val="0"/>
          <c:showCatName val="0"/>
          <c:showSerName val="0"/>
          <c:showPercent val="0"/>
          <c:showBubbleSize val="0"/>
        </c:dLbls>
        <c:axId val="1241922384"/>
        <c:axId val="1241906064"/>
      </c:areaChart>
      <c:catAx>
        <c:axId val="1241922384"/>
        <c:scaling>
          <c:orientation val="minMax"/>
        </c:scaling>
        <c:delete val="1"/>
        <c:axPos val="b"/>
        <c:numFmt formatCode="General" sourceLinked="1"/>
        <c:majorTickMark val="out"/>
        <c:minorTickMark val="none"/>
        <c:tickLblPos val="nextTo"/>
        <c:crossAx val="1241906064"/>
        <c:crosses val="autoZero"/>
        <c:auto val="1"/>
        <c:lblAlgn val="ctr"/>
        <c:lblOffset val="100"/>
        <c:noMultiLvlLbl val="0"/>
      </c:catAx>
      <c:valAx>
        <c:axId val="1241906064"/>
        <c:scaling>
          <c:orientation val="minMax"/>
        </c:scaling>
        <c:delete val="1"/>
        <c:axPos val="l"/>
        <c:numFmt formatCode="General" sourceLinked="1"/>
        <c:majorTickMark val="none"/>
        <c:minorTickMark val="none"/>
        <c:tickLblPos val="nextTo"/>
        <c:crossAx val="1241922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73932048528647E-3"/>
          <c:y val="1.7080077897693315E-2"/>
          <c:w val="0.99240260679514714"/>
          <c:h val="0.61426060995039766"/>
        </c:manualLayout>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General</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BA17-4730-9D93-A68A2A3B7529}"/>
            </c:ext>
          </c:extLst>
        </c:ser>
        <c:dLbls>
          <c:showLegendKey val="0"/>
          <c:showVal val="0"/>
          <c:showCatName val="0"/>
          <c:showSerName val="0"/>
          <c:showPercent val="0"/>
          <c:showBubbleSize val="0"/>
        </c:dLbls>
        <c:gapWidth val="219"/>
        <c:overlap val="-27"/>
        <c:axId val="1236596543"/>
        <c:axId val="1236581663"/>
      </c:barChart>
      <c:catAx>
        <c:axId val="123659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36581663"/>
        <c:crosses val="autoZero"/>
        <c:auto val="1"/>
        <c:lblAlgn val="ctr"/>
        <c:lblOffset val="100"/>
        <c:noMultiLvlLbl val="0"/>
      </c:catAx>
      <c:valAx>
        <c:axId val="1236581663"/>
        <c:scaling>
          <c:orientation val="minMax"/>
        </c:scaling>
        <c:delete val="1"/>
        <c:axPos val="l"/>
        <c:numFmt formatCode="General" sourceLinked="1"/>
        <c:majorTickMark val="none"/>
        <c:minorTickMark val="none"/>
        <c:tickLblPos val="nextTo"/>
        <c:crossAx val="123659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REPORT!PivotTable9</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397570600512152"/>
          <c:y val="0.22051548264390988"/>
          <c:w val="0.65927104500207612"/>
          <c:h val="0.62668390999819246"/>
        </c:manualLayout>
      </c:layout>
      <c:pieChart>
        <c:varyColors val="1"/>
        <c:ser>
          <c:idx val="0"/>
          <c:order val="0"/>
          <c:tx>
            <c:strRef>
              <c:f>'PIVOT REPORT'!$B$60</c:f>
              <c:strCache>
                <c:ptCount val="1"/>
                <c:pt idx="0">
                  <c:v>Total</c:v>
                </c:pt>
              </c:strCache>
            </c:strRef>
          </c:tx>
          <c:dPt>
            <c:idx val="0"/>
            <c:bubble3D val="0"/>
            <c:explosion val="2"/>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9E6C-475E-AB58-36D1192736D8}"/>
              </c:ext>
            </c:extLst>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Delay</c:v>
                </c:pt>
                <c:pt idx="1">
                  <c:v>Ontime</c:v>
                </c:pt>
              </c:strCache>
            </c:strRef>
          </c:cat>
          <c:val>
            <c:numRef>
              <c:f>'PIVOT REPORT'!$B$61:$B$63</c:f>
              <c:numCache>
                <c:formatCode>General</c:formatCode>
                <c:ptCount val="2"/>
                <c:pt idx="0">
                  <c:v>324</c:v>
                </c:pt>
                <c:pt idx="1">
                  <c:v>195</c:v>
                </c:pt>
              </c:numCache>
            </c:numRef>
          </c:val>
          <c:extLst>
            <c:ext xmlns:c16="http://schemas.microsoft.com/office/drawing/2014/chart" uri="{C3380CC4-5D6E-409C-BE32-E72D297353CC}">
              <c16:uniqueId val="{00000004-9E6C-475E-AB58-36D1192736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2981998434646479E-2"/>
          <c:y val="3.7615193934091601E-2"/>
          <c:w val="0.79874418459145791"/>
          <c:h val="0.1771938197645014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REPORT!PivotTable10</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409250167182029"/>
          <c:y val="0.25868361792704408"/>
          <c:w val="0.64050051030297572"/>
          <c:h val="0.60197282083160653"/>
        </c:manualLayout>
      </c:layout>
      <c:doughnutChart>
        <c:varyColors val="1"/>
        <c:ser>
          <c:idx val="0"/>
          <c:order val="0"/>
          <c:tx>
            <c:strRef>
              <c:f>'PIVOT REPORT'!$B$66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Female</c:v>
                </c:pt>
                <c:pt idx="1">
                  <c:v>Male</c:v>
                </c:pt>
              </c:strCache>
            </c:strRef>
          </c:cat>
          <c:val>
            <c:numRef>
              <c:f>'PIVOT REPORT'!$B$67:$B$69</c:f>
              <c:numCache>
                <c:formatCode>General</c:formatCode>
                <c:ptCount val="2"/>
                <c:pt idx="0">
                  <c:v>254</c:v>
                </c:pt>
                <c:pt idx="1">
                  <c:v>265</c:v>
                </c:pt>
              </c:numCache>
            </c:numRef>
          </c:val>
          <c:extLst>
            <c:ext xmlns:c16="http://schemas.microsoft.com/office/drawing/2014/chart" uri="{C3380CC4-5D6E-409C-BE32-E72D297353CC}">
              <c16:uniqueId val="{00000004-E55D-4841-AE39-7BF4D6303CB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7.5530333864818541E-2"/>
          <c:y val="3.7615193934091573E-2"/>
          <c:w val="0.81628659873115672"/>
          <c:h val="0.17719397754177638"/>
        </c:manualLayout>
      </c:layout>
      <c:overlay val="0"/>
      <c:spPr>
        <a:noFill/>
        <a:ln>
          <a:noFill/>
        </a:ln>
        <a:effectLst>
          <a:glow>
            <a:schemeClr val="bg1"/>
          </a:glow>
        </a:effectLst>
      </c:spPr>
      <c:txPr>
        <a:bodyPr rot="0" spcFirstLastPara="1" vertOverflow="ellipsis" vert="horz" wrap="square" anchor="ctr" anchorCtr="1"/>
        <a:lstStyle/>
        <a:p>
          <a:pPr>
            <a:defRPr lang="en-US"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92880483438765"/>
          <c:y val="3.7634424534088787E-2"/>
          <c:w val="0.58467165157426604"/>
          <c:h val="0.76019018719422027"/>
        </c:manualLayout>
      </c:layout>
      <c:barChart>
        <c:barDir val="bar"/>
        <c:grouping val="clustered"/>
        <c:varyColors val="0"/>
        <c:ser>
          <c:idx val="0"/>
          <c:order val="0"/>
          <c:tx>
            <c:strRef>
              <c:f>'PIVOT REPORT'!$B$72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REPORT'!$A$73:$A$81</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REPORT'!$B$73:$B$81</c:f>
              <c:numCache>
                <c:formatCode>General</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F12E-4711-B58E-3DE36DA98158}"/>
            </c:ext>
          </c:extLst>
        </c:ser>
        <c:dLbls>
          <c:showLegendKey val="0"/>
          <c:showVal val="0"/>
          <c:showCatName val="0"/>
          <c:showSerName val="0"/>
          <c:showPercent val="0"/>
          <c:showBubbleSize val="0"/>
        </c:dLbls>
        <c:gapWidth val="182"/>
        <c:axId val="495195071"/>
        <c:axId val="495180671"/>
      </c:barChart>
      <c:catAx>
        <c:axId val="49519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95180671"/>
        <c:crosses val="autoZero"/>
        <c:auto val="1"/>
        <c:lblAlgn val="ctr"/>
        <c:lblOffset val="100"/>
        <c:noMultiLvlLbl val="0"/>
      </c:catAx>
      <c:valAx>
        <c:axId val="495180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95195071"/>
        <c:crosses val="autoZero"/>
        <c:crossBetween val="between"/>
      </c:valAx>
      <c:spPr>
        <a:noFill/>
        <a:ln w="0">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87780471041265E-2"/>
          <c:y val="0.11104957882771284"/>
          <c:w val="0.82002443905791744"/>
          <c:h val="0.62236730886939284"/>
        </c:manualLayout>
      </c:layout>
      <c:areaChart>
        <c:grouping val="standard"/>
        <c:varyColors val="0"/>
        <c:ser>
          <c:idx val="0"/>
          <c:order val="0"/>
          <c:tx>
            <c:strRef>
              <c:f>'PIVOT REPORT'!$E$3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REPORT'!$D$4:$D$35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REPORT'!$E$4:$E$35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4B7E-42D6-BC61-68C9F2136D66}"/>
            </c:ext>
          </c:extLst>
        </c:ser>
        <c:dLbls>
          <c:showLegendKey val="0"/>
          <c:showVal val="0"/>
          <c:showCatName val="0"/>
          <c:showSerName val="0"/>
          <c:showPercent val="0"/>
          <c:showBubbleSize val="0"/>
        </c:dLbls>
        <c:axId val="1233794672"/>
        <c:axId val="1233793232"/>
      </c:areaChart>
      <c:catAx>
        <c:axId val="12337946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793232"/>
        <c:crosses val="autoZero"/>
        <c:auto val="1"/>
        <c:lblAlgn val="ctr"/>
        <c:lblOffset val="100"/>
        <c:noMultiLvlLbl val="0"/>
      </c:catAx>
      <c:valAx>
        <c:axId val="1233793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794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3814296537368"/>
          <c:y val="0.1111111111111111"/>
          <c:w val="0.84911541087079023"/>
          <c:h val="0.71681357538641"/>
        </c:manualLayout>
      </c:layout>
      <c:areaChart>
        <c:grouping val="standard"/>
        <c:varyColors val="0"/>
        <c:ser>
          <c:idx val="0"/>
          <c:order val="0"/>
          <c:tx>
            <c:strRef>
              <c:f>'PIVOT REPORT'!$J$3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REPORT'!$I$4:$I$35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REPORT'!$J$4:$J$35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0606-46CA-9B89-5B701BFF5886}"/>
            </c:ext>
          </c:extLst>
        </c:ser>
        <c:dLbls>
          <c:showLegendKey val="0"/>
          <c:showVal val="0"/>
          <c:showCatName val="0"/>
          <c:showSerName val="0"/>
          <c:showPercent val="0"/>
          <c:showBubbleSize val="0"/>
        </c:dLbls>
        <c:axId val="1241918064"/>
        <c:axId val="1241914704"/>
      </c:areaChart>
      <c:catAx>
        <c:axId val="12419180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914704"/>
        <c:crosses val="autoZero"/>
        <c:auto val="1"/>
        <c:lblAlgn val="ctr"/>
        <c:lblOffset val="100"/>
        <c:noMultiLvlLbl val="0"/>
      </c:catAx>
      <c:valAx>
        <c:axId val="12419147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918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dasboard.xlsx]PIVOT REPORT!PivotTable6</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49771647396541E-2"/>
          <c:y val="8.6206896551724144E-2"/>
          <c:w val="0.88763771331862207"/>
          <c:h val="0.78671976347784112"/>
        </c:manualLayout>
      </c:layout>
      <c:areaChart>
        <c:grouping val="standard"/>
        <c:varyColors val="0"/>
        <c:ser>
          <c:idx val="0"/>
          <c:order val="0"/>
          <c:tx>
            <c:strRef>
              <c:f>'PIVOT REPORT'!$N$3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REPORT'!$M$4:$M$35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REPORT'!$N$4:$N$35</c:f>
              <c:numCache>
                <c:formatCode>General</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BCB9-4E72-B4DA-AC23440EC615}"/>
            </c:ext>
          </c:extLst>
        </c:ser>
        <c:dLbls>
          <c:showLegendKey val="0"/>
          <c:showVal val="0"/>
          <c:showCatName val="0"/>
          <c:showSerName val="0"/>
          <c:showPercent val="0"/>
          <c:showBubbleSize val="0"/>
        </c:dLbls>
        <c:axId val="1202070096"/>
        <c:axId val="1308710336"/>
      </c:areaChart>
      <c:catAx>
        <c:axId val="12020700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710336"/>
        <c:crosses val="autoZero"/>
        <c:auto val="1"/>
        <c:lblAlgn val="ctr"/>
        <c:lblOffset val="100"/>
        <c:noMultiLvlLbl val="0"/>
      </c:catAx>
      <c:valAx>
        <c:axId val="1308710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070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hyperlink" Target="#'Daily ER Patient No'!A1"/><Relationship Id="rId7" Type="http://schemas.openxmlformats.org/officeDocument/2006/relationships/image" Target="../media/image4.sv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Avg satisfaction score'!A1"/><Relationship Id="rId15" Type="http://schemas.openxmlformats.org/officeDocument/2006/relationships/chart" Target="../charts/chart5.xml"/><Relationship Id="rId10" Type="http://schemas.openxmlformats.org/officeDocument/2006/relationships/image" Target="../media/image7.png"/><Relationship Id="rId19" Type="http://schemas.openxmlformats.org/officeDocument/2006/relationships/image" Target="../media/image9.emf"/><Relationship Id="rId4" Type="http://schemas.openxmlformats.org/officeDocument/2006/relationships/hyperlink" Target="#'Avg wait time'!A1"/><Relationship Id="rId9" Type="http://schemas.openxmlformats.org/officeDocument/2006/relationships/image" Target="../media/image6.svg"/><Relationship Id="rId1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5688</xdr:colOff>
      <xdr:row>43</xdr:row>
      <xdr:rowOff>5687</xdr:rowOff>
    </xdr:from>
    <xdr:to>
      <xdr:col>3</xdr:col>
      <xdr:colOff>904164</xdr:colOff>
      <xdr:row>44</xdr:row>
      <xdr:rowOff>176284</xdr:rowOff>
    </xdr:to>
    <xdr:graphicFrame macro="">
      <xdr:nvGraphicFramePr>
        <xdr:cNvPr id="2" name="Chart 1">
          <a:extLst>
            <a:ext uri="{FF2B5EF4-FFF2-40B4-BE49-F238E27FC236}">
              <a16:creationId xmlns:a16="http://schemas.microsoft.com/office/drawing/2014/main" id="{28ABBFDC-F757-E0A9-1E98-6342A2953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108857</xdr:colOff>
      <xdr:row>0</xdr:row>
      <xdr:rowOff>113211</xdr:rowOff>
    </xdr:from>
    <xdr:to>
      <xdr:col>4</xdr:col>
      <xdr:colOff>509451</xdr:colOff>
      <xdr:row>2</xdr:row>
      <xdr:rowOff>178526</xdr:rowOff>
    </xdr:to>
    <xdr:sp macro="" textlink="">
      <xdr:nvSpPr>
        <xdr:cNvPr id="3" name="Rectangle: Rounded Corners 2">
          <a:extLst>
            <a:ext uri="{FF2B5EF4-FFF2-40B4-BE49-F238E27FC236}">
              <a16:creationId xmlns:a16="http://schemas.microsoft.com/office/drawing/2014/main" id="{E0D7FB38-E3C6-DFB6-DF40-80DEB88833CC}"/>
            </a:ext>
          </a:extLst>
        </xdr:cNvPr>
        <xdr:cNvSpPr/>
      </xdr:nvSpPr>
      <xdr:spPr>
        <a:xfrm>
          <a:off x="108857" y="113211"/>
          <a:ext cx="2838994" cy="4310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557350</xdr:colOff>
      <xdr:row>0</xdr:row>
      <xdr:rowOff>117567</xdr:rowOff>
    </xdr:from>
    <xdr:to>
      <xdr:col>6</xdr:col>
      <xdr:colOff>413658</xdr:colOff>
      <xdr:row>3</xdr:row>
      <xdr:rowOff>2</xdr:rowOff>
    </xdr:to>
    <xdr:sp macro="" textlink="">
      <xdr:nvSpPr>
        <xdr:cNvPr id="4" name="Rectangle: Rounded Corners 3">
          <a:extLst>
            <a:ext uri="{FF2B5EF4-FFF2-40B4-BE49-F238E27FC236}">
              <a16:creationId xmlns:a16="http://schemas.microsoft.com/office/drawing/2014/main" id="{B72C64B2-E10B-C5B4-1758-6A689DE85985}"/>
            </a:ext>
          </a:extLst>
        </xdr:cNvPr>
        <xdr:cNvSpPr/>
      </xdr:nvSpPr>
      <xdr:spPr>
        <a:xfrm>
          <a:off x="2995750" y="117567"/>
          <a:ext cx="1075508" cy="4310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535577</xdr:colOff>
      <xdr:row>0</xdr:row>
      <xdr:rowOff>117566</xdr:rowOff>
    </xdr:from>
    <xdr:to>
      <xdr:col>8</xdr:col>
      <xdr:colOff>426720</xdr:colOff>
      <xdr:row>6</xdr:row>
      <xdr:rowOff>134983</xdr:rowOff>
    </xdr:to>
    <xdr:sp macro="" textlink="">
      <xdr:nvSpPr>
        <xdr:cNvPr id="6" name="Rectangle: Rounded Corners 5">
          <a:extLst>
            <a:ext uri="{FF2B5EF4-FFF2-40B4-BE49-F238E27FC236}">
              <a16:creationId xmlns:a16="http://schemas.microsoft.com/office/drawing/2014/main" id="{273CA81F-2A2A-477E-8780-16B75330CFF5}"/>
            </a:ext>
          </a:extLst>
        </xdr:cNvPr>
        <xdr:cNvSpPr/>
      </xdr:nvSpPr>
      <xdr:spPr>
        <a:xfrm>
          <a:off x="4201886" y="117566"/>
          <a:ext cx="1101634" cy="1114697"/>
        </a:xfrm>
        <a:prstGeom prst="roundRect">
          <a:avLst>
            <a:gd name="adj" fmla="val 74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503844</xdr:colOff>
      <xdr:row>0</xdr:row>
      <xdr:rowOff>117566</xdr:rowOff>
    </xdr:from>
    <xdr:to>
      <xdr:col>10</xdr:col>
      <xdr:colOff>373215</xdr:colOff>
      <xdr:row>6</xdr:row>
      <xdr:rowOff>139337</xdr:rowOff>
    </xdr:to>
    <xdr:sp macro="" textlink="">
      <xdr:nvSpPr>
        <xdr:cNvPr id="7" name="Rectangle: Rounded Corners 6">
          <a:extLst>
            <a:ext uri="{FF2B5EF4-FFF2-40B4-BE49-F238E27FC236}">
              <a16:creationId xmlns:a16="http://schemas.microsoft.com/office/drawing/2014/main" id="{CECE1A28-5A4E-438E-823A-F60D76389D75}"/>
            </a:ext>
          </a:extLst>
        </xdr:cNvPr>
        <xdr:cNvSpPr/>
      </xdr:nvSpPr>
      <xdr:spPr>
        <a:xfrm>
          <a:off x="5369687" y="117566"/>
          <a:ext cx="1084587" cy="1127418"/>
        </a:xfrm>
        <a:prstGeom prst="roundRect">
          <a:avLst>
            <a:gd name="adj" fmla="val 74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95794</xdr:colOff>
      <xdr:row>3</xdr:row>
      <xdr:rowOff>60959</xdr:rowOff>
    </xdr:from>
    <xdr:to>
      <xdr:col>1</xdr:col>
      <xdr:colOff>95794</xdr:colOff>
      <xdr:row>14</xdr:row>
      <xdr:rowOff>74022</xdr:rowOff>
    </xdr:to>
    <xdr:sp macro="" textlink="">
      <xdr:nvSpPr>
        <xdr:cNvPr id="8" name="Rectangle: Rounded Corners 7">
          <a:extLst>
            <a:ext uri="{FF2B5EF4-FFF2-40B4-BE49-F238E27FC236}">
              <a16:creationId xmlns:a16="http://schemas.microsoft.com/office/drawing/2014/main" id="{8AF1DBEF-792D-4962-94EC-CE78E26DF170}"/>
            </a:ext>
          </a:extLst>
        </xdr:cNvPr>
        <xdr:cNvSpPr/>
      </xdr:nvSpPr>
      <xdr:spPr>
        <a:xfrm>
          <a:off x="95794" y="609599"/>
          <a:ext cx="609600" cy="20247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200295</xdr:colOff>
      <xdr:row>3</xdr:row>
      <xdr:rowOff>69668</xdr:rowOff>
    </xdr:from>
    <xdr:to>
      <xdr:col>3</xdr:col>
      <xdr:colOff>3909</xdr:colOff>
      <xdr:row>7</xdr:row>
      <xdr:rowOff>91439</xdr:rowOff>
    </xdr:to>
    <xdr:sp macro="" textlink="">
      <xdr:nvSpPr>
        <xdr:cNvPr id="9" name="Rectangle: Rounded Corners 8">
          <a:extLst>
            <a:ext uri="{FF2B5EF4-FFF2-40B4-BE49-F238E27FC236}">
              <a16:creationId xmlns:a16="http://schemas.microsoft.com/office/drawing/2014/main" id="{0022F386-8737-4040-BCE7-6C7E6073DE5B}"/>
            </a:ext>
          </a:extLst>
        </xdr:cNvPr>
        <xdr:cNvSpPr/>
      </xdr:nvSpPr>
      <xdr:spPr>
        <a:xfrm>
          <a:off x="809895" y="618308"/>
          <a:ext cx="1022814" cy="753291"/>
        </a:xfrm>
        <a:prstGeom prst="roundRect">
          <a:avLst>
            <a:gd name="adj" fmla="val 85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90981</xdr:colOff>
      <xdr:row>3</xdr:row>
      <xdr:rowOff>74023</xdr:rowOff>
    </xdr:from>
    <xdr:to>
      <xdr:col>4</xdr:col>
      <xdr:colOff>504195</xdr:colOff>
      <xdr:row>7</xdr:row>
      <xdr:rowOff>95794</xdr:rowOff>
    </xdr:to>
    <xdr:sp macro="" textlink="">
      <xdr:nvSpPr>
        <xdr:cNvPr id="10" name="Rectangle: Rounded Corners 9">
          <a:extLst>
            <a:ext uri="{FF2B5EF4-FFF2-40B4-BE49-F238E27FC236}">
              <a16:creationId xmlns:a16="http://schemas.microsoft.com/office/drawing/2014/main" id="{8EE5C270-28AE-46C4-8085-1B579224E927}"/>
            </a:ext>
          </a:extLst>
        </xdr:cNvPr>
        <xdr:cNvSpPr/>
      </xdr:nvSpPr>
      <xdr:spPr>
        <a:xfrm>
          <a:off x="1919781" y="622663"/>
          <a:ext cx="1022814" cy="753291"/>
        </a:xfrm>
        <a:prstGeom prst="roundRect">
          <a:avLst>
            <a:gd name="adj" fmla="val 85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605688</xdr:colOff>
      <xdr:row>3</xdr:row>
      <xdr:rowOff>78377</xdr:rowOff>
    </xdr:from>
    <xdr:to>
      <xdr:col>6</xdr:col>
      <xdr:colOff>422366</xdr:colOff>
      <xdr:row>7</xdr:row>
      <xdr:rowOff>100148</xdr:rowOff>
    </xdr:to>
    <xdr:sp macro="" textlink="">
      <xdr:nvSpPr>
        <xdr:cNvPr id="11" name="Rectangle: Rounded Corners 10">
          <a:extLst>
            <a:ext uri="{FF2B5EF4-FFF2-40B4-BE49-F238E27FC236}">
              <a16:creationId xmlns:a16="http://schemas.microsoft.com/office/drawing/2014/main" id="{97E4B994-4319-4A12-9999-102A4CA5DDEB}"/>
            </a:ext>
          </a:extLst>
        </xdr:cNvPr>
        <xdr:cNvSpPr/>
      </xdr:nvSpPr>
      <xdr:spPr>
        <a:xfrm>
          <a:off x="3044088" y="627017"/>
          <a:ext cx="1035878" cy="753291"/>
        </a:xfrm>
        <a:prstGeom prst="roundRect">
          <a:avLst>
            <a:gd name="adj" fmla="val 85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187234</xdr:colOff>
      <xdr:row>7</xdr:row>
      <xdr:rowOff>130629</xdr:rowOff>
    </xdr:from>
    <xdr:to>
      <xdr:col>6</xdr:col>
      <xdr:colOff>409302</xdr:colOff>
      <xdr:row>10</xdr:row>
      <xdr:rowOff>8709</xdr:rowOff>
    </xdr:to>
    <xdr:sp macro="" textlink="">
      <xdr:nvSpPr>
        <xdr:cNvPr id="13" name="Rectangle: Rounded Corners 12">
          <a:extLst>
            <a:ext uri="{FF2B5EF4-FFF2-40B4-BE49-F238E27FC236}">
              <a16:creationId xmlns:a16="http://schemas.microsoft.com/office/drawing/2014/main" id="{68826414-51CE-4C5F-8616-689952382691}"/>
            </a:ext>
          </a:extLst>
        </xdr:cNvPr>
        <xdr:cNvSpPr/>
      </xdr:nvSpPr>
      <xdr:spPr>
        <a:xfrm>
          <a:off x="796834" y="1410789"/>
          <a:ext cx="3278777" cy="426720"/>
        </a:xfrm>
        <a:prstGeom prst="roundRect">
          <a:avLst>
            <a:gd name="adj" fmla="val 141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187235</xdr:colOff>
      <xdr:row>10</xdr:row>
      <xdr:rowOff>47897</xdr:rowOff>
    </xdr:from>
    <xdr:to>
      <xdr:col>6</xdr:col>
      <xdr:colOff>431076</xdr:colOff>
      <xdr:row>14</xdr:row>
      <xdr:rowOff>69669</xdr:rowOff>
    </xdr:to>
    <xdr:sp macro="" textlink="">
      <xdr:nvSpPr>
        <xdr:cNvPr id="14" name="Rectangle: Rounded Corners 13">
          <a:extLst>
            <a:ext uri="{FF2B5EF4-FFF2-40B4-BE49-F238E27FC236}">
              <a16:creationId xmlns:a16="http://schemas.microsoft.com/office/drawing/2014/main" id="{728A98A3-81BD-46AD-A155-80E03D8D9740}"/>
            </a:ext>
          </a:extLst>
        </xdr:cNvPr>
        <xdr:cNvSpPr/>
      </xdr:nvSpPr>
      <xdr:spPr>
        <a:xfrm>
          <a:off x="796835" y="1876697"/>
          <a:ext cx="3300550" cy="75329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383177</xdr:colOff>
      <xdr:row>0</xdr:row>
      <xdr:rowOff>152400</xdr:rowOff>
    </xdr:from>
    <xdr:to>
      <xdr:col>10</xdr:col>
      <xdr:colOff>396240</xdr:colOff>
      <xdr:row>13</xdr:row>
      <xdr:rowOff>143691</xdr:rowOff>
    </xdr:to>
    <xdr:cxnSp macro="">
      <xdr:nvCxnSpPr>
        <xdr:cNvPr id="18" name="Straight Connector 17">
          <a:extLst>
            <a:ext uri="{FF2B5EF4-FFF2-40B4-BE49-F238E27FC236}">
              <a16:creationId xmlns:a16="http://schemas.microsoft.com/office/drawing/2014/main" id="{7FC8B7C5-4ACA-4C2D-040C-932E8E609E85}"/>
            </a:ext>
          </a:extLst>
        </xdr:cNvPr>
        <xdr:cNvCxnSpPr/>
      </xdr:nvCxnSpPr>
      <xdr:spPr>
        <a:xfrm>
          <a:off x="6479177" y="152400"/>
          <a:ext cx="13063" cy="23687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548640</xdr:colOff>
      <xdr:row>7</xdr:row>
      <xdr:rowOff>13063</xdr:rowOff>
    </xdr:from>
    <xdr:to>
      <xdr:col>10</xdr:col>
      <xdr:colOff>396239</xdr:colOff>
      <xdr:row>14</xdr:row>
      <xdr:rowOff>56606</xdr:rowOff>
    </xdr:to>
    <xdr:sp macro="" textlink="">
      <xdr:nvSpPr>
        <xdr:cNvPr id="20" name="Rectangle: Rounded Corners 19">
          <a:extLst>
            <a:ext uri="{FF2B5EF4-FFF2-40B4-BE49-F238E27FC236}">
              <a16:creationId xmlns:a16="http://schemas.microsoft.com/office/drawing/2014/main" id="{8CB2BDB7-9648-41F9-98C6-B4F87CD8BD2C}"/>
            </a:ext>
          </a:extLst>
        </xdr:cNvPr>
        <xdr:cNvSpPr/>
      </xdr:nvSpPr>
      <xdr:spPr>
        <a:xfrm>
          <a:off x="4214949" y="1293223"/>
          <a:ext cx="2277290" cy="1323703"/>
        </a:xfrm>
        <a:prstGeom prst="roundRect">
          <a:avLst>
            <a:gd name="adj" fmla="val 74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500743</xdr:colOff>
      <xdr:row>1</xdr:row>
      <xdr:rowOff>174172</xdr:rowOff>
    </xdr:from>
    <xdr:to>
      <xdr:col>3</xdr:col>
      <xdr:colOff>492034</xdr:colOff>
      <xdr:row>2</xdr:row>
      <xdr:rowOff>139338</xdr:rowOff>
    </xdr:to>
    <xdr:sp macro="" textlink="">
      <xdr:nvSpPr>
        <xdr:cNvPr id="25" name="TextBox 24">
          <a:extLst>
            <a:ext uri="{FF2B5EF4-FFF2-40B4-BE49-F238E27FC236}">
              <a16:creationId xmlns:a16="http://schemas.microsoft.com/office/drawing/2014/main" id="{142E830A-F898-6F8E-E914-F70C8FAC3CB8}"/>
            </a:ext>
          </a:extLst>
        </xdr:cNvPr>
        <xdr:cNvSpPr txBox="1"/>
      </xdr:nvSpPr>
      <xdr:spPr>
        <a:xfrm>
          <a:off x="1110343" y="357052"/>
          <a:ext cx="1210491"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Report</a:t>
          </a:r>
          <a:endParaRPr lang="en-IN" sz="900"/>
        </a:p>
      </xdr:txBody>
    </xdr:sp>
    <xdr:clientData/>
  </xdr:twoCellAnchor>
  <xdr:twoCellAnchor editAs="oneCell">
    <xdr:from>
      <xdr:col>0</xdr:col>
      <xdr:colOff>165464</xdr:colOff>
      <xdr:row>0</xdr:row>
      <xdr:rowOff>156753</xdr:rowOff>
    </xdr:from>
    <xdr:to>
      <xdr:col>0</xdr:col>
      <xdr:colOff>557349</xdr:colOff>
      <xdr:row>2</xdr:row>
      <xdr:rowOff>148046</xdr:rowOff>
    </xdr:to>
    <xdr:pic>
      <xdr:nvPicPr>
        <xdr:cNvPr id="27" name="Picture 26">
          <a:extLst>
            <a:ext uri="{FF2B5EF4-FFF2-40B4-BE49-F238E27FC236}">
              <a16:creationId xmlns:a16="http://schemas.microsoft.com/office/drawing/2014/main" id="{8B6DDCA0-0157-2E5F-97D8-CEA701FDA4D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482" t="16216" r="19581" b="9910"/>
        <a:stretch>
          <a:fillRect/>
        </a:stretch>
      </xdr:blipFill>
      <xdr:spPr>
        <a:xfrm>
          <a:off x="165464" y="156753"/>
          <a:ext cx="391885" cy="357053"/>
        </a:xfrm>
        <a:prstGeom prst="rect">
          <a:avLst/>
        </a:prstGeom>
      </xdr:spPr>
    </xdr:pic>
    <xdr:clientData/>
  </xdr:twoCellAnchor>
  <xdr:twoCellAnchor editAs="oneCell">
    <xdr:from>
      <xdr:col>0</xdr:col>
      <xdr:colOff>605246</xdr:colOff>
      <xdr:row>0</xdr:row>
      <xdr:rowOff>174170</xdr:rowOff>
    </xdr:from>
    <xdr:to>
      <xdr:col>4</xdr:col>
      <xdr:colOff>477430</xdr:colOff>
      <xdr:row>2</xdr:row>
      <xdr:rowOff>60960</xdr:rowOff>
    </xdr:to>
    <xdr:pic>
      <xdr:nvPicPr>
        <xdr:cNvPr id="35" name="Picture 34">
          <a:extLst>
            <a:ext uri="{FF2B5EF4-FFF2-40B4-BE49-F238E27FC236}">
              <a16:creationId xmlns:a16="http://schemas.microsoft.com/office/drawing/2014/main" id="{84034BF8-A805-86DB-F7E9-0D8E94ED9A3D}"/>
            </a:ext>
          </a:extLst>
        </xdr:cNvPr>
        <xdr:cNvPicPr>
          <a:picLocks noChangeAspect="1"/>
        </xdr:cNvPicPr>
      </xdr:nvPicPr>
      <xdr:blipFill>
        <a:blip xmlns:r="http://schemas.openxmlformats.org/officeDocument/2006/relationships" r:embed="rId2"/>
        <a:stretch>
          <a:fillRect/>
        </a:stretch>
      </xdr:blipFill>
      <xdr:spPr>
        <a:xfrm>
          <a:off x="605246" y="174170"/>
          <a:ext cx="2310584" cy="252550"/>
        </a:xfrm>
        <a:prstGeom prst="rect">
          <a:avLst/>
        </a:prstGeom>
      </xdr:spPr>
    </xdr:pic>
    <xdr:clientData/>
  </xdr:twoCellAnchor>
  <xdr:twoCellAnchor editAs="absolute">
    <xdr:from>
      <xdr:col>1</xdr:col>
      <xdr:colOff>200296</xdr:colOff>
      <xdr:row>3</xdr:row>
      <xdr:rowOff>165463</xdr:rowOff>
    </xdr:from>
    <xdr:to>
      <xdr:col>3</xdr:col>
      <xdr:colOff>1336</xdr:colOff>
      <xdr:row>4</xdr:row>
      <xdr:rowOff>161109</xdr:rowOff>
    </xdr:to>
    <xdr:sp macro="" textlink="'PIVOT REPORT'!A4">
      <xdr:nvSpPr>
        <xdr:cNvPr id="40" name="TextBox 39">
          <a:extLst>
            <a:ext uri="{FF2B5EF4-FFF2-40B4-BE49-F238E27FC236}">
              <a16:creationId xmlns:a16="http://schemas.microsoft.com/office/drawing/2014/main" id="{ABFC5219-8931-F707-0046-A53770919199}"/>
            </a:ext>
          </a:extLst>
        </xdr:cNvPr>
        <xdr:cNvSpPr txBox="1"/>
      </xdr:nvSpPr>
      <xdr:spPr>
        <a:xfrm>
          <a:off x="809896" y="714103"/>
          <a:ext cx="1018903" cy="178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B8446C3-3491-4D3B-B616-CD4B94BE85C5}" type="TxLink">
            <a:rPr lang="en-US" sz="1100" b="0"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519</a:t>
          </a:fld>
          <a:endParaRPr lang="en-US" sz="1100"/>
        </a:p>
      </xdr:txBody>
    </xdr:sp>
    <xdr:clientData/>
  </xdr:twoCellAnchor>
  <xdr:twoCellAnchor>
    <xdr:from>
      <xdr:col>1</xdr:col>
      <xdr:colOff>200296</xdr:colOff>
      <xdr:row>4</xdr:row>
      <xdr:rowOff>182879</xdr:rowOff>
    </xdr:from>
    <xdr:to>
      <xdr:col>3</xdr:col>
      <xdr:colOff>0</xdr:colOff>
      <xdr:row>5</xdr:row>
      <xdr:rowOff>178525</xdr:rowOff>
    </xdr:to>
    <xdr:sp macro="" textlink="">
      <xdr:nvSpPr>
        <xdr:cNvPr id="45" name="TextBox 44">
          <a:hlinkClick xmlns:r="http://schemas.openxmlformats.org/officeDocument/2006/relationships" r:id="rId3"/>
          <a:extLst>
            <a:ext uri="{FF2B5EF4-FFF2-40B4-BE49-F238E27FC236}">
              <a16:creationId xmlns:a16="http://schemas.microsoft.com/office/drawing/2014/main" id="{EE62E6A2-D75D-4F23-B2CA-34A588505A16}"/>
            </a:ext>
          </a:extLst>
        </xdr:cNvPr>
        <xdr:cNvSpPr txBox="1"/>
      </xdr:nvSpPr>
      <xdr:spPr>
        <a:xfrm>
          <a:off x="809896" y="914399"/>
          <a:ext cx="1018904" cy="178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0" i="0" u="none" strike="noStrike">
              <a:solidFill>
                <a:srgbClr val="000000"/>
              </a:solidFill>
              <a:latin typeface="Calibri"/>
              <a:ea typeface="Calibri"/>
              <a:cs typeface="Calibri"/>
            </a:rPr>
            <a:t>No</a:t>
          </a:r>
          <a:r>
            <a:rPr lang="en-US" sz="900" b="0" i="0" u="none" strike="noStrike" baseline="0">
              <a:solidFill>
                <a:srgbClr val="000000"/>
              </a:solidFill>
              <a:latin typeface="Calibri"/>
              <a:ea typeface="Calibri"/>
              <a:cs typeface="Calibri"/>
            </a:rPr>
            <a:t> of patient</a:t>
          </a:r>
          <a:endParaRPr lang="en-US" sz="900" b="0" i="0" u="none" strike="noStrike">
            <a:solidFill>
              <a:srgbClr val="000000"/>
            </a:solidFill>
            <a:latin typeface="Calibri"/>
            <a:ea typeface="Calibri"/>
            <a:cs typeface="Calibri"/>
          </a:endParaRPr>
        </a:p>
      </xdr:txBody>
    </xdr:sp>
    <xdr:clientData/>
  </xdr:twoCellAnchor>
  <xdr:twoCellAnchor>
    <xdr:from>
      <xdr:col>3</xdr:col>
      <xdr:colOff>95794</xdr:colOff>
      <xdr:row>5</xdr:row>
      <xdr:rowOff>0</xdr:rowOff>
    </xdr:from>
    <xdr:to>
      <xdr:col>4</xdr:col>
      <xdr:colOff>509451</xdr:colOff>
      <xdr:row>5</xdr:row>
      <xdr:rowOff>178526</xdr:rowOff>
    </xdr:to>
    <xdr:sp macro="" textlink="">
      <xdr:nvSpPr>
        <xdr:cNvPr id="51" name="TextBox 50">
          <a:hlinkClick xmlns:r="http://schemas.openxmlformats.org/officeDocument/2006/relationships" r:id="rId4"/>
          <a:extLst>
            <a:ext uri="{FF2B5EF4-FFF2-40B4-BE49-F238E27FC236}">
              <a16:creationId xmlns:a16="http://schemas.microsoft.com/office/drawing/2014/main" id="{1FBC3424-37BD-DC30-FA76-FAB3FF309354}"/>
            </a:ext>
          </a:extLst>
        </xdr:cNvPr>
        <xdr:cNvSpPr txBox="1"/>
      </xdr:nvSpPr>
      <xdr:spPr>
        <a:xfrm>
          <a:off x="1924594" y="914400"/>
          <a:ext cx="1023257" cy="178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Avg Wait Time</a:t>
          </a:r>
        </a:p>
      </xdr:txBody>
    </xdr:sp>
    <xdr:clientData/>
  </xdr:twoCellAnchor>
  <xdr:twoCellAnchor>
    <xdr:from>
      <xdr:col>4</xdr:col>
      <xdr:colOff>609600</xdr:colOff>
      <xdr:row>4</xdr:row>
      <xdr:rowOff>174172</xdr:rowOff>
    </xdr:from>
    <xdr:to>
      <xdr:col>6</xdr:col>
      <xdr:colOff>422365</xdr:colOff>
      <xdr:row>6</xdr:row>
      <xdr:rowOff>0</xdr:rowOff>
    </xdr:to>
    <xdr:sp macro="" textlink="">
      <xdr:nvSpPr>
        <xdr:cNvPr id="53" name="TextBox 52">
          <a:hlinkClick xmlns:r="http://schemas.openxmlformats.org/officeDocument/2006/relationships" r:id="rId5"/>
          <a:extLst>
            <a:ext uri="{FF2B5EF4-FFF2-40B4-BE49-F238E27FC236}">
              <a16:creationId xmlns:a16="http://schemas.microsoft.com/office/drawing/2014/main" id="{950425F5-FA16-D173-D281-AACD84A694DF}"/>
            </a:ext>
          </a:extLst>
        </xdr:cNvPr>
        <xdr:cNvSpPr txBox="1"/>
      </xdr:nvSpPr>
      <xdr:spPr>
        <a:xfrm>
          <a:off x="3048000" y="905692"/>
          <a:ext cx="1040674" cy="19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Satisfaction Score</a:t>
          </a:r>
        </a:p>
      </xdr:txBody>
    </xdr:sp>
    <xdr:clientData/>
  </xdr:twoCellAnchor>
  <xdr:twoCellAnchor>
    <xdr:from>
      <xdr:col>3</xdr:col>
      <xdr:colOff>90981</xdr:colOff>
      <xdr:row>3</xdr:row>
      <xdr:rowOff>178525</xdr:rowOff>
    </xdr:from>
    <xdr:to>
      <xdr:col>4</xdr:col>
      <xdr:colOff>500284</xdr:colOff>
      <xdr:row>4</xdr:row>
      <xdr:rowOff>169816</xdr:rowOff>
    </xdr:to>
    <xdr:sp macro="" textlink="'PIVOT REPORT'!A8">
      <xdr:nvSpPr>
        <xdr:cNvPr id="54" name="TextBox 53">
          <a:extLst>
            <a:ext uri="{FF2B5EF4-FFF2-40B4-BE49-F238E27FC236}">
              <a16:creationId xmlns:a16="http://schemas.microsoft.com/office/drawing/2014/main" id="{F0ADA412-4B45-420C-AB82-DA6C804EDFFE}"/>
            </a:ext>
          </a:extLst>
        </xdr:cNvPr>
        <xdr:cNvSpPr txBox="1"/>
      </xdr:nvSpPr>
      <xdr:spPr>
        <a:xfrm>
          <a:off x="1919781" y="727165"/>
          <a:ext cx="1018903"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FEB8D333-079A-4E02-9758-D6E6C59C69E1}" type="TxLink">
            <a:rPr lang="en-US" sz="1100" b="0"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35.81</a:t>
          </a:fld>
          <a:endParaRPr lang="en-US" sz="1100"/>
        </a:p>
      </xdr:txBody>
    </xdr:sp>
    <xdr:clientData/>
  </xdr:twoCellAnchor>
  <xdr:twoCellAnchor>
    <xdr:from>
      <xdr:col>4</xdr:col>
      <xdr:colOff>605688</xdr:colOff>
      <xdr:row>3</xdr:row>
      <xdr:rowOff>178525</xdr:rowOff>
    </xdr:from>
    <xdr:to>
      <xdr:col>6</xdr:col>
      <xdr:colOff>422365</xdr:colOff>
      <xdr:row>4</xdr:row>
      <xdr:rowOff>161108</xdr:rowOff>
    </xdr:to>
    <xdr:sp macro="" textlink="'PIVOT REPORT'!A12">
      <xdr:nvSpPr>
        <xdr:cNvPr id="55" name="TextBox 54">
          <a:extLst>
            <a:ext uri="{FF2B5EF4-FFF2-40B4-BE49-F238E27FC236}">
              <a16:creationId xmlns:a16="http://schemas.microsoft.com/office/drawing/2014/main" id="{0507428E-118B-4FD8-9A1E-80689FE4E35B}"/>
            </a:ext>
          </a:extLst>
        </xdr:cNvPr>
        <xdr:cNvSpPr txBox="1"/>
      </xdr:nvSpPr>
      <xdr:spPr>
        <a:xfrm>
          <a:off x="3044088" y="727165"/>
          <a:ext cx="1044586" cy="165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FB372119-90D8-4429-B04D-3792249CDCCA}" type="TxLink">
            <a:rPr lang="en-US" sz="1100" b="0"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5.15</a:t>
          </a:fld>
          <a:endParaRPr lang="en-US" sz="1100"/>
        </a:p>
      </xdr:txBody>
    </xdr:sp>
    <xdr:clientData/>
  </xdr:twoCellAnchor>
  <xdr:twoCellAnchor editAs="oneCell">
    <xdr:from>
      <xdr:col>2</xdr:col>
      <xdr:colOff>391886</xdr:colOff>
      <xdr:row>3</xdr:row>
      <xdr:rowOff>87087</xdr:rowOff>
    </xdr:from>
    <xdr:to>
      <xdr:col>2</xdr:col>
      <xdr:colOff>605246</xdr:colOff>
      <xdr:row>4</xdr:row>
      <xdr:rowOff>117567</xdr:rowOff>
    </xdr:to>
    <xdr:pic>
      <xdr:nvPicPr>
        <xdr:cNvPr id="57" name="Graphic 56" descr="Male profile with solid fill">
          <a:extLst>
            <a:ext uri="{FF2B5EF4-FFF2-40B4-BE49-F238E27FC236}">
              <a16:creationId xmlns:a16="http://schemas.microsoft.com/office/drawing/2014/main" id="{5A2FD587-5CC8-88BE-93CB-EB041470FC7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11086" y="635727"/>
          <a:ext cx="213360" cy="213360"/>
        </a:xfrm>
        <a:prstGeom prst="rect">
          <a:avLst/>
        </a:prstGeom>
      </xdr:spPr>
    </xdr:pic>
    <xdr:clientData/>
  </xdr:twoCellAnchor>
  <xdr:twoCellAnchor editAs="oneCell">
    <xdr:from>
      <xdr:col>4</xdr:col>
      <xdr:colOff>278676</xdr:colOff>
      <xdr:row>3</xdr:row>
      <xdr:rowOff>95797</xdr:rowOff>
    </xdr:from>
    <xdr:to>
      <xdr:col>4</xdr:col>
      <xdr:colOff>505098</xdr:colOff>
      <xdr:row>4</xdr:row>
      <xdr:rowOff>139339</xdr:rowOff>
    </xdr:to>
    <xdr:pic>
      <xdr:nvPicPr>
        <xdr:cNvPr id="60" name="Graphic 59" descr="Hourglass Finished with solid fill">
          <a:extLst>
            <a:ext uri="{FF2B5EF4-FFF2-40B4-BE49-F238E27FC236}">
              <a16:creationId xmlns:a16="http://schemas.microsoft.com/office/drawing/2014/main" id="{E15E03E5-551E-5251-D92A-3F154061F17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17076" y="644437"/>
          <a:ext cx="226422" cy="226422"/>
        </a:xfrm>
        <a:prstGeom prst="rect">
          <a:avLst/>
        </a:prstGeom>
      </xdr:spPr>
    </xdr:pic>
    <xdr:clientData/>
  </xdr:twoCellAnchor>
  <xdr:twoCellAnchor editAs="oneCell">
    <xdr:from>
      <xdr:col>6</xdr:col>
      <xdr:colOff>169817</xdr:colOff>
      <xdr:row>3</xdr:row>
      <xdr:rowOff>113211</xdr:rowOff>
    </xdr:from>
    <xdr:to>
      <xdr:col>6</xdr:col>
      <xdr:colOff>404948</xdr:colOff>
      <xdr:row>4</xdr:row>
      <xdr:rowOff>165462</xdr:rowOff>
    </xdr:to>
    <xdr:pic>
      <xdr:nvPicPr>
        <xdr:cNvPr id="62" name="Graphic 61" descr="Customer review with solid fill">
          <a:extLst>
            <a:ext uri="{FF2B5EF4-FFF2-40B4-BE49-F238E27FC236}">
              <a16:creationId xmlns:a16="http://schemas.microsoft.com/office/drawing/2014/main" id="{DCF75061-DD4B-502F-4FC6-A8C112C9794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36126" y="661851"/>
          <a:ext cx="235131" cy="235131"/>
        </a:xfrm>
        <a:prstGeom prst="rect">
          <a:avLst/>
        </a:prstGeom>
      </xdr:spPr>
    </xdr:pic>
    <xdr:clientData/>
  </xdr:twoCellAnchor>
  <xdr:twoCellAnchor editAs="oneCell">
    <xdr:from>
      <xdr:col>0</xdr:col>
      <xdr:colOff>117565</xdr:colOff>
      <xdr:row>3</xdr:row>
      <xdr:rowOff>113211</xdr:rowOff>
    </xdr:from>
    <xdr:to>
      <xdr:col>1</xdr:col>
      <xdr:colOff>75415</xdr:colOff>
      <xdr:row>13</xdr:row>
      <xdr:rowOff>121920</xdr:rowOff>
    </xdr:to>
    <mc:AlternateContent xmlns:mc="http://schemas.openxmlformats.org/markup-compatibility/2006" xmlns:a14="http://schemas.microsoft.com/office/drawing/2010/main">
      <mc:Choice Requires="a14">
        <xdr:graphicFrame macro="">
          <xdr:nvGraphicFramePr>
            <xdr:cNvPr id="64" name="Date (Month)">
              <a:extLst>
                <a:ext uri="{FF2B5EF4-FFF2-40B4-BE49-F238E27FC236}">
                  <a16:creationId xmlns:a16="http://schemas.microsoft.com/office/drawing/2014/main" id="{2D7F7455-2DB1-4D2F-ABB8-16B974535A2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7565" y="661851"/>
              <a:ext cx="567450" cy="1837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191589</xdr:colOff>
      <xdr:row>6</xdr:row>
      <xdr:rowOff>13062</xdr:rowOff>
    </xdr:from>
    <xdr:to>
      <xdr:col>3</xdr:col>
      <xdr:colOff>8709</xdr:colOff>
      <xdr:row>7</xdr:row>
      <xdr:rowOff>87086</xdr:rowOff>
    </xdr:to>
    <xdr:graphicFrame macro="">
      <xdr:nvGraphicFramePr>
        <xdr:cNvPr id="65" name="Chart 64">
          <a:extLst>
            <a:ext uri="{FF2B5EF4-FFF2-40B4-BE49-F238E27FC236}">
              <a16:creationId xmlns:a16="http://schemas.microsoft.com/office/drawing/2014/main" id="{51228B33-0D7E-4659-A034-F49A9D7CA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95794</xdr:colOff>
      <xdr:row>6</xdr:row>
      <xdr:rowOff>17418</xdr:rowOff>
    </xdr:from>
    <xdr:to>
      <xdr:col>4</xdr:col>
      <xdr:colOff>496389</xdr:colOff>
      <xdr:row>7</xdr:row>
      <xdr:rowOff>78378</xdr:rowOff>
    </xdr:to>
    <xdr:graphicFrame macro="">
      <xdr:nvGraphicFramePr>
        <xdr:cNvPr id="69" name="Chart 68">
          <a:extLst>
            <a:ext uri="{FF2B5EF4-FFF2-40B4-BE49-F238E27FC236}">
              <a16:creationId xmlns:a16="http://schemas.microsoft.com/office/drawing/2014/main" id="{7EE985A7-4DAF-48A5-98B0-535B7236D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4354</xdr:colOff>
      <xdr:row>6</xdr:row>
      <xdr:rowOff>8710</xdr:rowOff>
    </xdr:from>
    <xdr:to>
      <xdr:col>6</xdr:col>
      <xdr:colOff>413657</xdr:colOff>
      <xdr:row>7</xdr:row>
      <xdr:rowOff>91440</xdr:rowOff>
    </xdr:to>
    <xdr:graphicFrame macro="">
      <xdr:nvGraphicFramePr>
        <xdr:cNvPr id="70" name="Chart 69">
          <a:extLst>
            <a:ext uri="{FF2B5EF4-FFF2-40B4-BE49-F238E27FC236}">
              <a16:creationId xmlns:a16="http://schemas.microsoft.com/office/drawing/2014/main" id="{84A40C12-9F48-4471-9A7F-6C4E5D71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187234</xdr:colOff>
      <xdr:row>10</xdr:row>
      <xdr:rowOff>56606</xdr:rowOff>
    </xdr:from>
    <xdr:to>
      <xdr:col>6</xdr:col>
      <xdr:colOff>400594</xdr:colOff>
      <xdr:row>13</xdr:row>
      <xdr:rowOff>108859</xdr:rowOff>
    </xdr:to>
    <xdr:graphicFrame macro="">
      <xdr:nvGraphicFramePr>
        <xdr:cNvPr id="16" name="Chart 15">
          <a:extLst>
            <a:ext uri="{FF2B5EF4-FFF2-40B4-BE49-F238E27FC236}">
              <a16:creationId xmlns:a16="http://schemas.microsoft.com/office/drawing/2014/main" id="{B205A17D-E410-41CB-97A9-CE7460434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474617</xdr:colOff>
      <xdr:row>13</xdr:row>
      <xdr:rowOff>52251</xdr:rowOff>
    </xdr:from>
    <xdr:to>
      <xdr:col>4</xdr:col>
      <xdr:colOff>605246</xdr:colOff>
      <xdr:row>14</xdr:row>
      <xdr:rowOff>39189</xdr:rowOff>
    </xdr:to>
    <xdr:sp macro="" textlink="">
      <xdr:nvSpPr>
        <xdr:cNvPr id="17" name="TextBox 16">
          <a:extLst>
            <a:ext uri="{FF2B5EF4-FFF2-40B4-BE49-F238E27FC236}">
              <a16:creationId xmlns:a16="http://schemas.microsoft.com/office/drawing/2014/main" id="{6C1B2CD8-D313-1CF4-D684-790FBA1F14D3}"/>
            </a:ext>
          </a:extLst>
        </xdr:cNvPr>
        <xdr:cNvSpPr txBox="1"/>
      </xdr:nvSpPr>
      <xdr:spPr>
        <a:xfrm>
          <a:off x="1693817" y="2429691"/>
          <a:ext cx="1349829" cy="16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No. of Patient by Age Group</a:t>
          </a:r>
        </a:p>
      </xdr:txBody>
    </xdr:sp>
    <xdr:clientData/>
  </xdr:twoCellAnchor>
  <xdr:twoCellAnchor>
    <xdr:from>
      <xdr:col>6</xdr:col>
      <xdr:colOff>526868</xdr:colOff>
      <xdr:row>0</xdr:row>
      <xdr:rowOff>117566</xdr:rowOff>
    </xdr:from>
    <xdr:to>
      <xdr:col>8</xdr:col>
      <xdr:colOff>435428</xdr:colOff>
      <xdr:row>6</xdr:row>
      <xdr:rowOff>134983</xdr:rowOff>
    </xdr:to>
    <xdr:graphicFrame macro="">
      <xdr:nvGraphicFramePr>
        <xdr:cNvPr id="21" name="Chart 20">
          <a:extLst>
            <a:ext uri="{FF2B5EF4-FFF2-40B4-BE49-F238E27FC236}">
              <a16:creationId xmlns:a16="http://schemas.microsoft.com/office/drawing/2014/main" id="{9C60AFA7-DF06-44E2-B25E-283A4FF27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526868</xdr:colOff>
      <xdr:row>5</xdr:row>
      <xdr:rowOff>121920</xdr:rowOff>
    </xdr:from>
    <xdr:to>
      <xdr:col>8</xdr:col>
      <xdr:colOff>422366</xdr:colOff>
      <xdr:row>6</xdr:row>
      <xdr:rowOff>104503</xdr:rowOff>
    </xdr:to>
    <xdr:sp macro="" textlink="">
      <xdr:nvSpPr>
        <xdr:cNvPr id="24" name="TextBox 23">
          <a:extLst>
            <a:ext uri="{FF2B5EF4-FFF2-40B4-BE49-F238E27FC236}">
              <a16:creationId xmlns:a16="http://schemas.microsoft.com/office/drawing/2014/main" id="{ACC88E70-E9C3-DB8D-4C00-128E560F4737}"/>
            </a:ext>
          </a:extLst>
        </xdr:cNvPr>
        <xdr:cNvSpPr txBox="1"/>
      </xdr:nvSpPr>
      <xdr:spPr>
        <a:xfrm>
          <a:off x="4193177" y="1036320"/>
          <a:ext cx="1105989" cy="165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Patient</a:t>
          </a:r>
          <a:r>
            <a:rPr lang="en-IN" sz="700" baseline="0"/>
            <a:t> Attend Status</a:t>
          </a:r>
          <a:endParaRPr lang="en-IN" sz="700"/>
        </a:p>
      </xdr:txBody>
    </xdr:sp>
    <xdr:clientData/>
  </xdr:twoCellAnchor>
  <xdr:twoCellAnchor>
    <xdr:from>
      <xdr:col>8</xdr:col>
      <xdr:colOff>522942</xdr:colOff>
      <xdr:row>0</xdr:row>
      <xdr:rowOff>129490</xdr:rowOff>
    </xdr:from>
    <xdr:to>
      <xdr:col>10</xdr:col>
      <xdr:colOff>378510</xdr:colOff>
      <xdr:row>6</xdr:row>
      <xdr:rowOff>139337</xdr:rowOff>
    </xdr:to>
    <xdr:graphicFrame macro="">
      <xdr:nvGraphicFramePr>
        <xdr:cNvPr id="26" name="Chart 25">
          <a:extLst>
            <a:ext uri="{FF2B5EF4-FFF2-40B4-BE49-F238E27FC236}">
              <a16:creationId xmlns:a16="http://schemas.microsoft.com/office/drawing/2014/main" id="{7FE7773A-E80E-421A-A9DC-E3383FD98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535577</xdr:colOff>
      <xdr:row>7</xdr:row>
      <xdr:rowOff>56605</xdr:rowOff>
    </xdr:from>
    <xdr:to>
      <xdr:col>10</xdr:col>
      <xdr:colOff>373886</xdr:colOff>
      <xdr:row>13</xdr:row>
      <xdr:rowOff>39188</xdr:rowOff>
    </xdr:to>
    <xdr:graphicFrame macro="">
      <xdr:nvGraphicFramePr>
        <xdr:cNvPr id="28" name="Chart 27">
          <a:extLst>
            <a:ext uri="{FF2B5EF4-FFF2-40B4-BE49-F238E27FC236}">
              <a16:creationId xmlns:a16="http://schemas.microsoft.com/office/drawing/2014/main" id="{BB56B143-2396-4AFA-A646-DD267CA3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557348</xdr:colOff>
      <xdr:row>13</xdr:row>
      <xdr:rowOff>39188</xdr:rowOff>
    </xdr:from>
    <xdr:to>
      <xdr:col>10</xdr:col>
      <xdr:colOff>396240</xdr:colOff>
      <xdr:row>14</xdr:row>
      <xdr:rowOff>17417</xdr:rowOff>
    </xdr:to>
    <xdr:sp macro="" textlink="">
      <xdr:nvSpPr>
        <xdr:cNvPr id="29" name="TextBox 28">
          <a:extLst>
            <a:ext uri="{FF2B5EF4-FFF2-40B4-BE49-F238E27FC236}">
              <a16:creationId xmlns:a16="http://schemas.microsoft.com/office/drawing/2014/main" id="{54F078C9-1A10-1D67-0AD4-5CE76EA75CB7}"/>
            </a:ext>
          </a:extLst>
        </xdr:cNvPr>
        <xdr:cNvSpPr txBox="1"/>
      </xdr:nvSpPr>
      <xdr:spPr>
        <a:xfrm>
          <a:off x="4223657" y="2416628"/>
          <a:ext cx="2268583" cy="16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No. of Patient by Department</a:t>
          </a:r>
        </a:p>
      </xdr:txBody>
    </xdr:sp>
    <xdr:clientData/>
  </xdr:twoCellAnchor>
  <xdr:twoCellAnchor editAs="oneCell">
    <xdr:from>
      <xdr:col>4</xdr:col>
      <xdr:colOff>609600</xdr:colOff>
      <xdr:row>0</xdr:row>
      <xdr:rowOff>126274</xdr:rowOff>
    </xdr:from>
    <xdr:to>
      <xdr:col>6</xdr:col>
      <xdr:colOff>365761</xdr:colOff>
      <xdr:row>2</xdr:row>
      <xdr:rowOff>174171</xdr:rowOff>
    </xdr:to>
    <mc:AlternateContent xmlns:mc="http://schemas.openxmlformats.org/markup-compatibility/2006" xmlns:a14="http://schemas.microsoft.com/office/drawing/2010/main">
      <mc:Choice Requires="a14">
        <xdr:graphicFrame macro="">
          <xdr:nvGraphicFramePr>
            <xdr:cNvPr id="30" name="Date (Year)">
              <a:extLst>
                <a:ext uri="{FF2B5EF4-FFF2-40B4-BE49-F238E27FC236}">
                  <a16:creationId xmlns:a16="http://schemas.microsoft.com/office/drawing/2014/main" id="{66903E55-30F8-471F-ACA5-3417DA1903C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48000" y="126274"/>
              <a:ext cx="984070" cy="413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214455</xdr:colOff>
      <xdr:row>7</xdr:row>
      <xdr:rowOff>145770</xdr:rowOff>
    </xdr:from>
    <xdr:to>
      <xdr:col>6</xdr:col>
      <xdr:colOff>383281</xdr:colOff>
      <xdr:row>9</xdr:row>
      <xdr:rowOff>170529</xdr:rowOff>
    </xdr:to>
    <xdr:pic>
      <xdr:nvPicPr>
        <xdr:cNvPr id="12" name="Picture 11">
          <a:extLst>
            <a:ext uri="{FF2B5EF4-FFF2-40B4-BE49-F238E27FC236}">
              <a16:creationId xmlns:a16="http://schemas.microsoft.com/office/drawing/2014/main" id="{B2FBD8A4-E7F1-2DF9-038E-098BE4AA851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25880" y="1423375"/>
          <a:ext cx="3230515" cy="389789"/>
        </a:xfrm>
        <a:prstGeom prst="rect">
          <a:avLst/>
        </a:prstGeom>
        <a:noFill/>
      </xdr:spPr>
    </xdr:pic>
    <xdr:clientData/>
  </xdr:twoCellAnchor>
</xdr:wsDr>
</file>

<file path=xl/drawings/drawing3.xml><?xml version="1.0" encoding="utf-8"?>
<c:userShapes xmlns:c="http://schemas.openxmlformats.org/drawingml/2006/chart">
  <cdr:relSizeAnchor xmlns:cdr="http://schemas.openxmlformats.org/drawingml/2006/chartDrawing">
    <cdr:from>
      <cdr:x>0.00413</cdr:x>
      <cdr:y>0.82353</cdr:y>
    </cdr:from>
    <cdr:to>
      <cdr:x>1</cdr:x>
      <cdr:y>0.98039</cdr:y>
    </cdr:to>
    <cdr:sp macro="" textlink="">
      <cdr:nvSpPr>
        <cdr:cNvPr id="3" name="TextBox 2">
          <a:extLst xmlns:a="http://schemas.openxmlformats.org/drawingml/2006/main">
            <a:ext uri="{FF2B5EF4-FFF2-40B4-BE49-F238E27FC236}">
              <a16:creationId xmlns:a16="http://schemas.microsoft.com/office/drawing/2014/main" id="{044A3A81-402B-6917-7C4D-67A7740FB948}"/>
            </a:ext>
          </a:extLst>
        </cdr:cNvPr>
        <cdr:cNvSpPr txBox="1"/>
      </cdr:nvSpPr>
      <cdr:spPr>
        <a:xfrm xmlns:a="http://schemas.openxmlformats.org/drawingml/2006/main">
          <a:off x="8709" y="914399"/>
          <a:ext cx="1049383" cy="1741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0.82745</cdr:y>
    </cdr:from>
    <cdr:to>
      <cdr:x>1</cdr:x>
      <cdr:y>0.99608</cdr:y>
    </cdr:to>
    <cdr:sp macro="" textlink="">
      <cdr:nvSpPr>
        <cdr:cNvPr id="4" name="TextBox 3">
          <a:extLst xmlns:a="http://schemas.openxmlformats.org/drawingml/2006/main">
            <a:ext uri="{FF2B5EF4-FFF2-40B4-BE49-F238E27FC236}">
              <a16:creationId xmlns:a16="http://schemas.microsoft.com/office/drawing/2014/main" id="{E9DEE3EC-A3FD-F211-C790-0D0AAE8CC4CB}"/>
            </a:ext>
          </a:extLst>
        </cdr:cNvPr>
        <cdr:cNvSpPr txBox="1"/>
      </cdr:nvSpPr>
      <cdr:spPr>
        <a:xfrm xmlns:a="http://schemas.openxmlformats.org/drawingml/2006/main">
          <a:off x="0" y="922356"/>
          <a:ext cx="1053738" cy="18796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700" kern="1200"/>
            <a:t>Gender Wise Analysis </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373380</xdr:colOff>
      <xdr:row>22</xdr:row>
      <xdr:rowOff>53340</xdr:rowOff>
    </xdr:to>
    <xdr:graphicFrame macro="">
      <xdr:nvGraphicFramePr>
        <xdr:cNvPr id="2" name="Chart 1">
          <a:extLst>
            <a:ext uri="{FF2B5EF4-FFF2-40B4-BE49-F238E27FC236}">
              <a16:creationId xmlns:a16="http://schemas.microsoft.com/office/drawing/2014/main" id="{09FE8BBC-3B5F-4BBC-A05D-8709EE01B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0.00801</cdr:x>
      <cdr:y>0.02053</cdr:y>
    </cdr:from>
    <cdr:to>
      <cdr:x>0.05444</cdr:x>
      <cdr:y>0.13963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A8B8D32-FA1C-033F-E446-1791DB885A6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6200" y="76200"/>
          <a:ext cx="441960" cy="44196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600636</xdr:colOff>
      <xdr:row>0</xdr:row>
      <xdr:rowOff>152399</xdr:rowOff>
    </xdr:from>
    <xdr:to>
      <xdr:col>10</xdr:col>
      <xdr:colOff>555812</xdr:colOff>
      <xdr:row>15</xdr:row>
      <xdr:rowOff>134469</xdr:rowOff>
    </xdr:to>
    <xdr:graphicFrame macro="">
      <xdr:nvGraphicFramePr>
        <xdr:cNvPr id="2" name="Chart 1">
          <a:extLst>
            <a:ext uri="{FF2B5EF4-FFF2-40B4-BE49-F238E27FC236}">
              <a16:creationId xmlns:a16="http://schemas.microsoft.com/office/drawing/2014/main" id="{41FE4B0F-5DAB-4E1F-92F9-0CC66DB86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0.01185</cdr:x>
      <cdr:y>0.01964</cdr:y>
    </cdr:from>
    <cdr:to>
      <cdr:x>0.05782</cdr:x>
      <cdr:y>0.12111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3007FE8-3BBC-EB8F-3BFE-5D0161B27B0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1719" y="53788"/>
          <a:ext cx="278156" cy="277907"/>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510540</xdr:colOff>
      <xdr:row>1</xdr:row>
      <xdr:rowOff>152400</xdr:rowOff>
    </xdr:from>
    <xdr:to>
      <xdr:col>16</xdr:col>
      <xdr:colOff>518160</xdr:colOff>
      <xdr:row>23</xdr:row>
      <xdr:rowOff>106680</xdr:rowOff>
    </xdr:to>
    <xdr:graphicFrame macro="">
      <xdr:nvGraphicFramePr>
        <xdr:cNvPr id="2" name="Chart 1">
          <a:extLst>
            <a:ext uri="{FF2B5EF4-FFF2-40B4-BE49-F238E27FC236}">
              <a16:creationId xmlns:a16="http://schemas.microsoft.com/office/drawing/2014/main" id="{FADB1B2F-18FA-4F00-8D92-EBD8F71A6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0.00859</cdr:x>
      <cdr:y>0.01724</cdr:y>
    </cdr:from>
    <cdr:to>
      <cdr:x>0.06245</cdr:x>
      <cdr:y>0.14943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165E0E8-2D85-4CA4-DF91-BAF980F385A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3820" y="68580"/>
          <a:ext cx="525780" cy="52578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0462963" createdVersion="5" refreshedVersion="8" minRefreshableVersion="3" recordCount="0" supportSubquery="1" supportAdvancedDrill="1" xr:uid="{4C0C3AC4-B0C6-4D6B-AD9D-E7DDBB59308F}">
  <cacheSource type="external" connectionId="3"/>
  <cacheFields count="4">
    <cacheField name="[Measures].[Distinct Count of Patient Id]" caption="Distinct Count of Patient Id" numFmtId="0" hierarchy="24" level="32767"/>
    <cacheField name="[Cala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2"/>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1"/>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0694448" createdVersion="5" refreshedVersion="8" minRefreshableVersion="3" recordCount="0" supportSubquery="1" supportAdvancedDrill="1" xr:uid="{319A4A00-F13A-4B69-85DA-039E8F841DB1}">
  <cacheSource type="external" connectionId="3"/>
  <cacheFields count="3">
    <cacheField name="[Measures].[Distinct Count of Patient Id]" caption="Distinct Count of Patient Id" numFmtId="0" hierarchy="24"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0810186" createdVersion="5" refreshedVersion="8" minRefreshableVersion="3" recordCount="0" supportSubquery="1" supportAdvancedDrill="1" xr:uid="{C8B33353-E485-4A03-9E94-9056E5B4CD39}">
  <cacheSource type="external" connectionId="3"/>
  <cacheFields count="3">
    <cacheField name="[Measures].[Average of Patient Waittime]" caption="Average of Patient Waittime" numFmtId="0" hierarchy="26"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1041664" createdVersion="5" refreshedVersion="8" minRefreshableVersion="3" recordCount="0" supportSubquery="1" supportAdvancedDrill="1" xr:uid="{737DEFD9-2AF9-4B9C-A123-5C91343F11A8}">
  <cacheSource type="external" connectionId="3"/>
  <cacheFields count="3">
    <cacheField name="[Measures].[Average of Patient Satisfaction Score]" caption="Average of Patient Satisfaction Score" numFmtId="0" hierarchy="28"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173611" createdVersion="5" refreshedVersion="8" minRefreshableVersion="3" recordCount="0" supportSubquery="1" supportAdvancedDrill="1" xr:uid="{3D242806-1062-4524-813C-1FAABE1336A0}">
  <cacheSource type="external" connectionId="3"/>
  <cacheFields count="4">
    <cacheField name="[Calander_Table].[Date (Day)].[Date (Day)]" caption="Date (Day)" numFmtId="0" hierarchy="2" level="1">
      <sharedItems count="62">
        <s v="1-May"/>
        <s v="2-May"/>
        <s v="3-May"/>
        <s v="4-May"/>
        <s v="5-May"/>
        <s v="6-May"/>
        <s v="7-May"/>
        <s v="8-May"/>
        <s v="9-May"/>
        <s v="10-May"/>
        <s v="11-May"/>
        <s v="12-May"/>
        <s v="13-May"/>
        <s v="14-May"/>
        <s v="15-May"/>
        <s v="16-May"/>
        <s v="17-May"/>
        <s v="18-May"/>
        <s v="19-May"/>
        <s v="20-May"/>
        <s v="21-May"/>
        <s v="22-May"/>
        <s v="23-May"/>
        <s v="24-May"/>
        <s v="25-May"/>
        <s v="26-May"/>
        <s v="27-May"/>
        <s v="28-May"/>
        <s v="29-May"/>
        <s v="30-May"/>
        <s v="31-May"/>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Cala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2430557" createdVersion="5" refreshedVersion="8" minRefreshableVersion="3" recordCount="0" supportSubquery="1" supportAdvancedDrill="1" xr:uid="{20167212-AFE4-4248-840C-A9AE2DD7A2BA}">
  <cacheSource type="external" connectionId="3"/>
  <cacheFields count="4">
    <cacheField name="[Calander_Table].[Date (Day)].[Date (Day)]" caption="Date (Day)" numFmtId="0" hierarchy="2" level="1">
      <sharedItems count="62">
        <s v="1-May"/>
        <s v="2-May"/>
        <s v="3-May"/>
        <s v="4-May"/>
        <s v="5-May"/>
        <s v="6-May"/>
        <s v="7-May"/>
        <s v="8-May"/>
        <s v="9-May"/>
        <s v="10-May"/>
        <s v="11-May"/>
        <s v="12-May"/>
        <s v="13-May"/>
        <s v="14-May"/>
        <s v="15-May"/>
        <s v="16-May"/>
        <s v="17-May"/>
        <s v="18-May"/>
        <s v="19-May"/>
        <s v="20-May"/>
        <s v="21-May"/>
        <s v="22-May"/>
        <s v="23-May"/>
        <s v="24-May"/>
        <s v="25-May"/>
        <s v="26-May"/>
        <s v="27-May"/>
        <s v="28-May"/>
        <s v="29-May"/>
        <s v="30-May"/>
        <s v="31-May"/>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Cala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3125003" createdVersion="5" refreshedVersion="8" minRefreshableVersion="3" recordCount="0" supportSubquery="1" supportAdvancedDrill="1" xr:uid="{6CA78AAA-C2D6-4114-88AE-6FE89FD04266}">
  <cacheSource type="external" connectionId="3"/>
  <cacheFields count="5">
    <cacheField name="[Cala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a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3587965" createdVersion="5" refreshedVersion="8" minRefreshableVersion="3" recordCount="0" supportSubquery="1" supportAdvancedDrill="1" xr:uid="{78F9DB87-B39D-4D09-B556-5E7B6CF6FCE8}">
  <cacheSource type="external" connectionId="3"/>
  <cacheFields count="4">
    <cacheField name="[Cala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4050927" createdVersion="5" refreshedVersion="8" minRefreshableVersion="3" recordCount="0" supportSubquery="1" supportAdvancedDrill="1" xr:uid="{13903170-A7B6-495A-A1E5-A411098CEE6B}">
  <cacheSource type="external" connectionId="3"/>
  <cacheFields count="4">
    <cacheField name="[Cala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4629628" createdVersion="5" refreshedVersion="8" minRefreshableVersion="3" recordCount="0" supportSubquery="1" supportAdvancedDrill="1" xr:uid="{2F1CCD43-CE61-43D5-BD8D-C873CE75677F}">
  <cacheSource type="external" connectionId="3"/>
  <cacheFields count="4">
    <cacheField name="[Cala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5208335" createdVersion="5" refreshedVersion="8" minRefreshableVersion="3" recordCount="0" supportSubquery="1" supportAdvancedDrill="1" xr:uid="{6CEA198E-B9D0-4538-8709-50BDBC870B72}">
  <cacheSource type="external" connectionId="3"/>
  <cacheFields count="4">
    <cacheField name="[Cala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ander_Table].[Date (Year)].[Date (Year)]" caption="Date (Year)" numFmtId="0" hierarchy="3" level="1">
      <sharedItems containsSemiMixedTypes="0" containsNonDate="0" containsString="0"/>
    </cacheField>
  </cacheFields>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6045.445955671297" createdVersion="5" refreshedVersion="8" minRefreshableVersion="3" recordCount="0" supportSubquery="1" supportAdvancedDrill="1" xr:uid="{AAB93E66-4D4F-4B68-9937-60543B778680}">
  <cacheSource type="external" connectionId="3"/>
  <cacheFields count="4">
    <cacheField name="[Calander_Table].[Date (Month)].[Date (Month)]" caption="Date (Month)" numFmtId="0" hierarchy="1" level="1">
      <sharedItems count="1">
        <s v="Jan"/>
      </sharedItems>
    </cacheField>
    <cacheField name="[Cala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ander_Table].[Date (Quarter)].[Date (Quarter)]" caption="Date (Quarter)" numFmtId="0" hierarchy="4" level="1">
      <sharedItems count="1">
        <s v="Qtr1"/>
      </sharedItems>
    </cacheField>
    <cacheField name="[Calander_Table].[Date (Year)].[Date (Year)]" caption="Date (Year)" numFmtId="0" hierarchy="3" level="1">
      <sharedItems count="1">
        <s v="2024"/>
      </sharedItems>
    </cacheField>
  </cacheFields>
  <cacheHierarchies count="34">
    <cacheHierarchy uniqueName="[Calander_Table].[Date]" caption="Date" attribute="1" time="1" defaultMemberUniqueName="[Calander_Table].[Date].[All]" allUniqueName="[Calander_Table].[Date].[All]" dimensionUniqueName="[Calander_Table]" displayFolder="" count="2" memberValueDatatype="7" unbalanced="0">
      <fieldsUsage count="2">
        <fieldUsage x="-1"/>
        <fieldUsage x="1"/>
      </fieldsUsage>
    </cacheHierarchy>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ander_Table].[Date (Day Index)]" caption="Date (Day Index)" attribute="1" defaultMemberUniqueName="[Calander_Table].[Date (Day Index)].[All]" allUniqueName="[Calander_Table].[Date (Day Index)].[All]" dimensionUniqueName="[Calander_Table]" displayFolder="" count="2"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ika Patel" refreshedDate="45920.022715393519" createdVersion="3" refreshedVersion="8" minRefreshableVersion="3" recordCount="0" supportSubquery="1" supportAdvancedDrill="1" xr:uid="{5588FA35-583B-40DB-82DF-C8DC770BBE3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017151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8CBB8C-9B3E-43D9-A0DE-90AFE99B1888}" name="PivotTable8" cacheId="504" applyNumberFormats="0" applyBorderFormats="0" applyFontFormats="0" applyPatternFormats="0" applyAlignmentFormats="0" applyWidthHeightFormats="1" dataCaption="Values" tag="33ba4155-3ad1-4b34-af3d-addad860be93" updatedVersion="8" minRefreshableVersion="3" subtotalHiddenItems="1" itemPrintTitles="1" createdVersion="5" indent="0" outline="1" outlineData="1" multipleFieldFilters="0" chartFormat="4">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C220D-E865-4CE6-AD23-72F14B839E75}" name="PivotTable4" cacheId="483" applyNumberFormats="0" applyBorderFormats="0" applyFontFormats="0" applyPatternFormats="0" applyAlignmentFormats="0" applyWidthHeightFormats="1" dataCaption="Values" tag="aa8412f9-8b99-4733-ac41-a3f8b7aca35a" updatedVersion="8" minRefreshableVersion="3" subtotalHiddenItems="1" itemPrintTitles="1" createdVersion="5" indent="0" outline="1" outlineData="1" multipleFieldFilters="0" chartFormat="12">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AD5B48-FFA8-4C13-A703-308FFA292D3B}" name="PivotTable11" cacheId="513" applyNumberFormats="0" applyBorderFormats="0" applyFontFormats="0" applyPatternFormats="0" applyAlignmentFormats="0" applyWidthHeightFormats="1" dataCaption="Values" tag="33ba4155-3ad1-4b34-af3d-addad860be93" updatedVersion="8" minRefreshableVersion="3" subtotalHiddenItems="1" itemPrintTitles="1" createdVersion="5" indent="0" outline="1" outlineData="1" multipleFieldFilters="0" chartFormat="25">
  <location ref="A72:B8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97528-F6D0-4DB5-BAF2-28034894BBB5}" name="PivotTable10" cacheId="510" applyNumberFormats="0" applyBorderFormats="0" applyFontFormats="0" applyPatternFormats="0" applyAlignmentFormats="0" applyWidthHeightFormats="1" dataCaption="Values" tag="33ba4155-3ad1-4b34-af3d-addad860be93" updatedVersion="8" minRefreshableVersion="3" subtotalHiddenItems="1" itemPrintTitles="1" createdVersion="5" indent="0" outline="1" outlineData="1" multipleFieldFilters="0" chartFormat="21">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2E1ED-114B-4F89-9261-341EDE5E9A3E}" name="PivotTable1" cacheId="486" applyNumberFormats="0" applyBorderFormats="0" applyFontFormats="0" applyPatternFormats="0" applyAlignmentFormats="0" applyWidthHeightFormats="1" dataCaption="Values" tag="33ba4155-3ad1-4b34-af3d-addad860be93"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A218E-15D9-4C7C-9B0D-730073C89552}" name="PivotTable12" cacheId="516" applyNumberFormats="0" applyBorderFormats="0" applyFontFormats="0" applyPatternFormats="0" applyAlignmentFormats="0" applyWidthHeightFormats="1" dataCaption="Values" tag="33ba4155-3ad1-4b34-af3d-addad860be93" updatedVersion="8" minRefreshableVersion="3" subtotalHiddenItems="1" itemPrintTitles="1" createdVersion="5" indent="0" outline="1" outlineData="1" multipleFieldFilters="0" chartFormat="25">
  <location ref="A84:A8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0B8116-8848-4075-9584-E7573086E204}" name="PivotTable9" cacheId="507" applyNumberFormats="0" applyBorderFormats="0" applyFontFormats="0" applyPatternFormats="0" applyAlignmentFormats="0" applyWidthHeightFormats="1" dataCaption="Values" tag="33ba4155-3ad1-4b34-af3d-addad860be93" updatedVersion="8" minRefreshableVersion="3" subtotalHiddenItems="1" itemPrintTitles="1" createdVersion="5" indent="0" outline="1" outlineData="1" multipleFieldFilters="0" chartFormat="16">
  <location ref="A60: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111497-321E-4BD1-9F98-00D256DC66D9}" name="PivotTable3" cacheId="492" applyNumberFormats="0" applyBorderFormats="0" applyFontFormats="0" applyPatternFormats="0" applyAlignmentFormats="0" applyWidthHeightFormats="1" dataCaption="Values" tag="0fdf12de-af4c-46c0-9ebb-a3d664e6545e"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8">
      <pivotArea outline="0" collapsedLevelsAreSubtotals="1" fieldPosition="0"/>
    </format>
  </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7D3C92-2DFA-4C45-B962-0B76557F578B}" name="PivotTable2" cacheId="489" applyNumberFormats="0" applyBorderFormats="0" applyFontFormats="0" applyPatternFormats="0" applyAlignmentFormats="0" applyWidthHeightFormats="1" dataCaption="Values" tag="f71898be-7bdd-4af5-8004-c2898a94efad"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9">
      <pivotArea outline="0" collapsedLevelsAreSubtotals="1" fieldPosition="0"/>
    </format>
  </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24791F-D8C4-4E3D-BA6B-4E6D3F20DEED}" name="PivotTable6" cacheId="498" applyNumberFormats="0" applyBorderFormats="0" applyFontFormats="0" applyPatternFormats="0" applyAlignmentFormats="0" applyWidthHeightFormats="1" dataCaption="Values" tag="cefe2d84-50cd-49e5-8693-657892870c76" updatedVersion="8" minRefreshableVersion="3" subtotalHiddenItems="1" itemPrintTitles="1" createdVersion="5" indent="0" outline="1" outlineData="1" multipleFieldFilters="0" chartFormat="33">
  <location ref="M3:N35" firstHeaderRow="1" firstDataRow="1" firstDataCol="1"/>
  <pivotFields count="4">
    <pivotField axis="axisRow" allDrilled="1" subtotalTop="0" showAll="0" defaultSubtotal="0" defaultAttributeDrillState="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Average of Patient Satisfaction Score" fld="2" subtotal="average" baseField="0" baseItem="31"/>
  </dataFields>
  <formats count="3">
    <format dxfId="172">
      <pivotArea collapsedLevelsAreSubtotals="1" fieldPosition="0">
        <references count="1">
          <reference field="0" count="1">
            <x v="0"/>
          </reference>
        </references>
      </pivotArea>
    </format>
    <format dxfId="171">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170">
      <pivotArea grandRow="1" outline="0" collapsedLevelsAreSubtotals="1" fieldPosition="0"/>
    </format>
  </formats>
  <chartFormats count="6">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957B77-6F86-462B-BCBB-79397043E02F}" name="PivotTable5" cacheId="495" applyNumberFormats="0" applyBorderFormats="0" applyFontFormats="0" applyPatternFormats="0" applyAlignmentFormats="0" applyWidthHeightFormats="1" dataCaption="Values" tag="d8422719-f48a-4c30-ac93-7ad0ea8dfa19" updatedVersion="8" minRefreshableVersion="3" subtotalHiddenItems="1" itemPrintTitles="1" createdVersion="5" indent="0" outline="1" outlineData="1" multipleFieldFilters="0" chartFormat="26">
  <location ref="I3:J35" firstHeaderRow="1" firstDataRow="1" firstDataCol="1"/>
  <pivotFields count="4">
    <pivotField axis="axisRow" allDrilled="1" subtotalTop="0" showAll="0" defaultSubtotal="0" defaultAttributeDrillState="1">
      <items count="62">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Average of Patient Waittime" fld="2" subtotal="average" baseField="0" baseItem="0" numFmtId="2"/>
  </dataFields>
  <formats count="4">
    <format dxfId="176">
      <pivotArea collapsedLevelsAreSubtotals="1" fieldPosition="0">
        <references count="1">
          <reference field="0" count="1">
            <x v="0"/>
          </reference>
        </references>
      </pivotArea>
    </format>
    <format dxfId="175">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174">
      <pivotArea grandRow="1" outline="0" collapsedLevelsAreSubtotals="1" fieldPosition="0"/>
    </format>
    <format dxfId="173">
      <pivotArea outline="0" collapsedLevelsAreSubtotals="1" fieldPosition="0"/>
    </format>
  </formats>
  <chartFormats count="7">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8445BF-92E0-4E44-85CD-8C58CCFDAB74}" name="PivotTable7" cacheId="501" applyNumberFormats="0" applyBorderFormats="0" applyFontFormats="0" applyPatternFormats="0" applyAlignmentFormats="0" applyWidthHeightFormats="1" dataCaption="Values" tag="0fdf12de-af4c-46c0-9ebb-a3d664e6545e" updatedVersion="8" minRefreshableVersion="3" subtotalHiddenItems="1" itemPrintTitles="1" createdVersion="5" indent="0" outline="1" outlineData="1" multipleFieldFilters="0" chartFormat="31">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79">
      <pivotArea outline="0" collapsedLevelsAreSubtotals="1" fieldPosition="0"/>
    </format>
    <format dxfId="178">
      <pivotArea outline="0" collapsedLevelsAreSubtotals="1" fieldPosition="0">
        <references count="1">
          <reference field="4294967294" count="1" selected="0">
            <x v="0"/>
          </reference>
        </references>
      </pivotArea>
    </format>
    <format dxfId="17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ander_Table].[Date (Month)].&amp;[May]"/>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0747460-2478-4004-A886-1EE4F81FCCEF}" sourceName="[Cala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601715177">
      <levels count="2">
        <level uniqueName="[Calander_Table].[Date (Month)].[(All)]" sourceCaption="(All)" count="0"/>
        <level uniqueName="[Calander_Table].[Date (Month)].[Date (Month)]" sourceCaption="Date (Month)" count="12">
          <ranges>
            <range startItem="0">
              <i n="[Calander_Table].[Date (Month)].&amp;[Jan]" c="Jan"/>
              <i n="[Calander_Table].[Date (Month)].&amp;[Feb]" c="Feb"/>
              <i n="[Calander_Table].[Date (Month)].&amp;[Mar]" c="Mar"/>
              <i n="[Calander_Table].[Date (Month)].&amp;[Apr]" c="Apr"/>
              <i n="[Calander_Table].[Date (Month)].&amp;[May]" c="May"/>
              <i n="[Calander_Table].[Date (Month)].&amp;[Jun]" c="Jun"/>
              <i n="[Calander_Table].[Date (Month)].&amp;[Jul]" c="Jul"/>
              <i n="[Calander_Table].[Date (Month)].&amp;[Aug]" c="Aug"/>
              <i n="[Calander_Table].[Date (Month)].&amp;[Sep]" c="Sep"/>
              <i n="[Calander_Table].[Date (Month)].&amp;[Oct]" c="Oct"/>
              <i n="[Calander_Table].[Date (Month)].&amp;[Nov]" c="Nov"/>
              <i n="[Calander_Table].[Date (Month)].&amp;[Dec]" c="Dec"/>
            </range>
          </ranges>
        </level>
      </levels>
      <selections count="1">
        <selection n="[Cala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C7706CD-D26C-4781-901D-E02D7C96D1BB}" sourceName="[Cala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01715177">
      <levels count="2">
        <level uniqueName="[Calander_Table].[Date (Year)].[(All)]" sourceCaption="(All)" count="0"/>
        <level uniqueName="[Calander_Table].[Date (Year)].[Date (Year)]" sourceCaption="Date (Year)" count="2">
          <ranges>
            <range startItem="0">
              <i n="[Calander_Table].[Date (Year)].&amp;[2023]" c="2023"/>
              <i n="[Calander_Table].[Date (Year)].&amp;[2024]" c="2024"/>
            </range>
          </ranges>
        </level>
      </levels>
      <selections count="1">
        <selection n="[Cala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F1A61F8-E683-4514-AF8F-4BFD76661AB8}" cache="Slicer_Date__Month" caption="Date (Month)" showCaption="0" level="1" style="My style" rowHeight="108000"/>
  <slicer name="Date (Year)" xr10:uid="{CE395F51-324E-4C3F-8A91-D32C0E423573}"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B778-4CDB-4CAA-B7A2-8B11D8F32549}">
  <dimension ref="A2:N86"/>
  <sheetViews>
    <sheetView zoomScale="134" workbookViewId="0">
      <selection activeCell="H46" sqref="H46"/>
    </sheetView>
  </sheetViews>
  <sheetFormatPr defaultRowHeight="14.4" x14ac:dyDescent="0.3"/>
  <cols>
    <col min="1" max="1" width="12.6640625" bestFit="1" customWidth="1"/>
    <col min="2" max="2" width="10" bestFit="1" customWidth="1"/>
    <col min="3" max="3" width="8.44140625" bestFit="1" customWidth="1"/>
    <col min="4" max="4" width="13.33203125" customWidth="1"/>
    <col min="5" max="5" width="7.88671875" bestFit="1" customWidth="1"/>
    <col min="9" max="9" width="11.33203125" customWidth="1"/>
    <col min="10" max="10" width="10.109375" bestFit="1" customWidth="1"/>
  </cols>
  <sheetData>
    <row r="2" spans="1:14" x14ac:dyDescent="0.3">
      <c r="A2" t="s">
        <v>1</v>
      </c>
      <c r="D2" t="s">
        <v>6</v>
      </c>
      <c r="I2" t="s">
        <v>7</v>
      </c>
      <c r="M2" t="s">
        <v>8</v>
      </c>
    </row>
    <row r="3" spans="1:14" x14ac:dyDescent="0.3">
      <c r="A3" t="s">
        <v>0</v>
      </c>
      <c r="D3" s="1" t="s">
        <v>4</v>
      </c>
      <c r="E3" t="s">
        <v>0</v>
      </c>
      <c r="I3" s="1" t="s">
        <v>4</v>
      </c>
      <c r="J3" t="s">
        <v>2</v>
      </c>
      <c r="M3" s="1" t="s">
        <v>4</v>
      </c>
      <c r="N3" t="s">
        <v>3</v>
      </c>
    </row>
    <row r="4" spans="1:14" x14ac:dyDescent="0.3">
      <c r="A4" s="11">
        <v>519</v>
      </c>
      <c r="D4" s="4" t="s">
        <v>40</v>
      </c>
      <c r="E4" s="11">
        <v>14</v>
      </c>
      <c r="I4" s="4" t="s">
        <v>40</v>
      </c>
      <c r="J4" s="2">
        <v>35.642857142857146</v>
      </c>
      <c r="M4" s="4" t="s">
        <v>40</v>
      </c>
      <c r="N4" s="11">
        <v>7.4</v>
      </c>
    </row>
    <row r="5" spans="1:14" x14ac:dyDescent="0.3">
      <c r="D5" s="4" t="s">
        <v>41</v>
      </c>
      <c r="E5" s="11">
        <v>21</v>
      </c>
      <c r="I5" s="4" t="s">
        <v>41</v>
      </c>
      <c r="J5" s="2">
        <v>27</v>
      </c>
      <c r="M5" s="4" t="s">
        <v>41</v>
      </c>
      <c r="N5" s="11">
        <v>5.6</v>
      </c>
    </row>
    <row r="6" spans="1:14" x14ac:dyDescent="0.3">
      <c r="D6" s="4" t="s">
        <v>42</v>
      </c>
      <c r="E6" s="11">
        <v>21</v>
      </c>
      <c r="I6" s="4" t="s">
        <v>42</v>
      </c>
      <c r="J6" s="2">
        <v>36.047619047619051</v>
      </c>
      <c r="M6" s="4" t="s">
        <v>42</v>
      </c>
      <c r="N6" s="11">
        <v>6.7142857142857144</v>
      </c>
    </row>
    <row r="7" spans="1:14" x14ac:dyDescent="0.3">
      <c r="A7" t="s">
        <v>2</v>
      </c>
      <c r="D7" s="4" t="s">
        <v>43</v>
      </c>
      <c r="E7" s="11">
        <v>15</v>
      </c>
      <c r="I7" s="4" t="s">
        <v>43</v>
      </c>
      <c r="J7" s="2">
        <v>38.866666666666667</v>
      </c>
      <c r="M7" s="4" t="s">
        <v>43</v>
      </c>
      <c r="N7" s="11">
        <v>6</v>
      </c>
    </row>
    <row r="8" spans="1:14" x14ac:dyDescent="0.3">
      <c r="A8" s="2">
        <v>35.809248554913296</v>
      </c>
      <c r="D8" s="4" t="s">
        <v>44</v>
      </c>
      <c r="E8" s="11">
        <v>11</v>
      </c>
      <c r="I8" s="4" t="s">
        <v>44</v>
      </c>
      <c r="J8" s="2">
        <v>35.909090909090907</v>
      </c>
      <c r="M8" s="4" t="s">
        <v>44</v>
      </c>
      <c r="N8" s="11">
        <v>4</v>
      </c>
    </row>
    <row r="9" spans="1:14" x14ac:dyDescent="0.3">
      <c r="D9" s="4" t="s">
        <v>45</v>
      </c>
      <c r="E9" s="11">
        <v>17</v>
      </c>
      <c r="I9" s="4" t="s">
        <v>45</v>
      </c>
      <c r="J9" s="2">
        <v>38.470588235294116</v>
      </c>
      <c r="M9" s="4" t="s">
        <v>45</v>
      </c>
      <c r="N9" s="11">
        <v>4.7142857142857144</v>
      </c>
    </row>
    <row r="10" spans="1:14" x14ac:dyDescent="0.3">
      <c r="D10" s="4" t="s">
        <v>46</v>
      </c>
      <c r="E10" s="11">
        <v>15</v>
      </c>
      <c r="I10" s="4" t="s">
        <v>46</v>
      </c>
      <c r="J10" s="2">
        <v>36.733333333333334</v>
      </c>
      <c r="M10" s="4" t="s">
        <v>46</v>
      </c>
      <c r="N10" s="11">
        <v>1.8</v>
      </c>
    </row>
    <row r="11" spans="1:14" x14ac:dyDescent="0.3">
      <c r="A11" t="s">
        <v>3</v>
      </c>
      <c r="D11" s="4" t="s">
        <v>47</v>
      </c>
      <c r="E11" s="11">
        <v>17</v>
      </c>
      <c r="I11" s="4" t="s">
        <v>47</v>
      </c>
      <c r="J11" s="2">
        <v>34.588235294117645</v>
      </c>
      <c r="M11" s="4" t="s">
        <v>47</v>
      </c>
      <c r="N11" s="11">
        <v>4.833333333333333</v>
      </c>
    </row>
    <row r="12" spans="1:14" x14ac:dyDescent="0.3">
      <c r="A12" s="2">
        <v>5.1455696202531644</v>
      </c>
      <c r="D12" s="4" t="s">
        <v>48</v>
      </c>
      <c r="E12" s="11">
        <v>13</v>
      </c>
      <c r="I12" s="4" t="s">
        <v>48</v>
      </c>
      <c r="J12" s="2">
        <v>37.53846153846154</v>
      </c>
      <c r="M12" s="4" t="s">
        <v>48</v>
      </c>
      <c r="N12" s="11">
        <v>4.25</v>
      </c>
    </row>
    <row r="13" spans="1:14" x14ac:dyDescent="0.3">
      <c r="D13" s="4" t="s">
        <v>49</v>
      </c>
      <c r="E13" s="11">
        <v>24</v>
      </c>
      <c r="I13" s="4" t="s">
        <v>49</v>
      </c>
      <c r="J13" s="2">
        <v>31.708333333333332</v>
      </c>
      <c r="M13" s="4" t="s">
        <v>49</v>
      </c>
      <c r="N13" s="11">
        <v>4.5999999999999996</v>
      </c>
    </row>
    <row r="14" spans="1:14" x14ac:dyDescent="0.3">
      <c r="D14" s="4" t="s">
        <v>50</v>
      </c>
      <c r="E14" s="11">
        <v>13</v>
      </c>
      <c r="I14" s="4" t="s">
        <v>50</v>
      </c>
      <c r="J14" s="2">
        <v>28.923076923076923</v>
      </c>
      <c r="M14" s="4" t="s">
        <v>50</v>
      </c>
      <c r="N14" s="11">
        <v>6.5</v>
      </c>
    </row>
    <row r="15" spans="1:14" x14ac:dyDescent="0.3">
      <c r="D15" s="4" t="s">
        <v>51</v>
      </c>
      <c r="E15" s="11">
        <v>14</v>
      </c>
      <c r="I15" s="4" t="s">
        <v>51</v>
      </c>
      <c r="J15" s="2">
        <v>42.071428571428569</v>
      </c>
      <c r="M15" s="4" t="s">
        <v>51</v>
      </c>
      <c r="N15" s="11">
        <v>5</v>
      </c>
    </row>
    <row r="16" spans="1:14" x14ac:dyDescent="0.3">
      <c r="D16" s="4" t="s">
        <v>52</v>
      </c>
      <c r="E16" s="11">
        <v>12</v>
      </c>
      <c r="I16" s="4" t="s">
        <v>52</v>
      </c>
      <c r="J16" s="2">
        <v>35.833333333333336</v>
      </c>
      <c r="M16" s="4" t="s">
        <v>52</v>
      </c>
      <c r="N16" s="11">
        <v>6</v>
      </c>
    </row>
    <row r="17" spans="4:14" x14ac:dyDescent="0.3">
      <c r="D17" s="4" t="s">
        <v>53</v>
      </c>
      <c r="E17" s="11">
        <v>11</v>
      </c>
      <c r="I17" s="4" t="s">
        <v>53</v>
      </c>
      <c r="J17" s="2">
        <v>28.727272727272727</v>
      </c>
      <c r="M17" s="4" t="s">
        <v>53</v>
      </c>
      <c r="N17" s="11">
        <v>4.7142857142857144</v>
      </c>
    </row>
    <row r="18" spans="4:14" x14ac:dyDescent="0.3">
      <c r="D18" s="4" t="s">
        <v>54</v>
      </c>
      <c r="E18" s="11">
        <v>16</v>
      </c>
      <c r="I18" s="4" t="s">
        <v>54</v>
      </c>
      <c r="J18" s="2">
        <v>35.75</v>
      </c>
      <c r="M18" s="4" t="s">
        <v>54</v>
      </c>
      <c r="N18" s="11">
        <v>4.2</v>
      </c>
    </row>
    <row r="19" spans="4:14" x14ac:dyDescent="0.3">
      <c r="D19" s="4" t="s">
        <v>55</v>
      </c>
      <c r="E19" s="11">
        <v>20</v>
      </c>
      <c r="I19" s="4" t="s">
        <v>55</v>
      </c>
      <c r="J19" s="2">
        <v>34.75</v>
      </c>
      <c r="M19" s="4" t="s">
        <v>55</v>
      </c>
      <c r="N19" s="11">
        <v>7.2</v>
      </c>
    </row>
    <row r="20" spans="4:14" x14ac:dyDescent="0.3">
      <c r="D20" s="4" t="s">
        <v>56</v>
      </c>
      <c r="E20" s="11">
        <v>15</v>
      </c>
      <c r="I20" s="4" t="s">
        <v>56</v>
      </c>
      <c r="J20" s="2">
        <v>37.666666666666664</v>
      </c>
      <c r="M20" s="4" t="s">
        <v>56</v>
      </c>
      <c r="N20" s="11">
        <v>4.333333333333333</v>
      </c>
    </row>
    <row r="21" spans="4:14" x14ac:dyDescent="0.3">
      <c r="D21" s="4" t="s">
        <v>57</v>
      </c>
      <c r="E21" s="11">
        <v>19</v>
      </c>
      <c r="I21" s="4" t="s">
        <v>57</v>
      </c>
      <c r="J21" s="2">
        <v>40.421052631578945</v>
      </c>
      <c r="M21" s="4" t="s">
        <v>57</v>
      </c>
      <c r="N21" s="11">
        <v>3.7777777777777777</v>
      </c>
    </row>
    <row r="22" spans="4:14" x14ac:dyDescent="0.3">
      <c r="D22" s="4" t="s">
        <v>58</v>
      </c>
      <c r="E22" s="11">
        <v>16</v>
      </c>
      <c r="I22" s="4" t="s">
        <v>58</v>
      </c>
      <c r="J22" s="2">
        <v>33.75</v>
      </c>
      <c r="M22" s="4" t="s">
        <v>58</v>
      </c>
      <c r="N22" s="11">
        <v>3.6666666666666665</v>
      </c>
    </row>
    <row r="23" spans="4:14" x14ac:dyDescent="0.3">
      <c r="D23" s="4" t="s">
        <v>59</v>
      </c>
      <c r="E23" s="11">
        <v>17</v>
      </c>
      <c r="I23" s="4" t="s">
        <v>59</v>
      </c>
      <c r="J23" s="2">
        <v>32.764705882352942</v>
      </c>
      <c r="M23" s="4" t="s">
        <v>59</v>
      </c>
      <c r="N23" s="11">
        <v>4</v>
      </c>
    </row>
    <row r="24" spans="4:14" x14ac:dyDescent="0.3">
      <c r="D24" s="4" t="s">
        <v>60</v>
      </c>
      <c r="E24" s="11">
        <v>28</v>
      </c>
      <c r="I24" s="4" t="s">
        <v>60</v>
      </c>
      <c r="J24" s="2">
        <v>37.357142857142854</v>
      </c>
      <c r="M24" s="4" t="s">
        <v>60</v>
      </c>
      <c r="N24" s="11">
        <v>5.833333333333333</v>
      </c>
    </row>
    <row r="25" spans="4:14" x14ac:dyDescent="0.3">
      <c r="D25" s="4" t="s">
        <v>61</v>
      </c>
      <c r="E25" s="11">
        <v>22</v>
      </c>
      <c r="I25" s="4" t="s">
        <v>61</v>
      </c>
      <c r="J25" s="2">
        <v>37.227272727272727</v>
      </c>
      <c r="M25" s="4" t="s">
        <v>61</v>
      </c>
      <c r="N25" s="11">
        <v>5.666666666666667</v>
      </c>
    </row>
    <row r="26" spans="4:14" x14ac:dyDescent="0.3">
      <c r="D26" s="4" t="s">
        <v>62</v>
      </c>
      <c r="E26" s="11">
        <v>20</v>
      </c>
      <c r="I26" s="4" t="s">
        <v>62</v>
      </c>
      <c r="J26" s="2">
        <v>36.700000000000003</v>
      </c>
      <c r="M26" s="4" t="s">
        <v>62</v>
      </c>
      <c r="N26" s="11">
        <v>5.5</v>
      </c>
    </row>
    <row r="27" spans="4:14" x14ac:dyDescent="0.3">
      <c r="D27" s="4" t="s">
        <v>63</v>
      </c>
      <c r="E27" s="11">
        <v>17</v>
      </c>
      <c r="I27" s="4" t="s">
        <v>63</v>
      </c>
      <c r="J27" s="2">
        <v>43.058823529411768</v>
      </c>
      <c r="M27" s="4" t="s">
        <v>63</v>
      </c>
      <c r="N27" s="11">
        <v>5.5</v>
      </c>
    </row>
    <row r="28" spans="4:14" x14ac:dyDescent="0.3">
      <c r="D28" s="4" t="s">
        <v>64</v>
      </c>
      <c r="E28" s="11">
        <v>18</v>
      </c>
      <c r="I28" s="4" t="s">
        <v>64</v>
      </c>
      <c r="J28" s="2">
        <v>39.777777777777779</v>
      </c>
      <c r="M28" s="4" t="s">
        <v>64</v>
      </c>
      <c r="N28" s="11">
        <v>7</v>
      </c>
    </row>
    <row r="29" spans="4:14" x14ac:dyDescent="0.3">
      <c r="D29" s="4" t="s">
        <v>65</v>
      </c>
      <c r="E29" s="11">
        <v>13</v>
      </c>
      <c r="I29" s="4" t="s">
        <v>65</v>
      </c>
      <c r="J29" s="2">
        <v>40.692307692307693</v>
      </c>
      <c r="M29" s="4" t="s">
        <v>65</v>
      </c>
      <c r="N29" s="11">
        <v>7</v>
      </c>
    </row>
    <row r="30" spans="4:14" x14ac:dyDescent="0.3">
      <c r="D30" s="4" t="s">
        <v>66</v>
      </c>
      <c r="E30" s="11">
        <v>13</v>
      </c>
      <c r="I30" s="4" t="s">
        <v>66</v>
      </c>
      <c r="J30" s="2">
        <v>34.46153846153846</v>
      </c>
      <c r="M30" s="4" t="s">
        <v>66</v>
      </c>
      <c r="N30" s="11">
        <v>4</v>
      </c>
    </row>
    <row r="31" spans="4:14" x14ac:dyDescent="0.3">
      <c r="D31" s="4" t="s">
        <v>67</v>
      </c>
      <c r="E31" s="11">
        <v>13</v>
      </c>
      <c r="I31" s="4" t="s">
        <v>67</v>
      </c>
      <c r="J31" s="2">
        <v>30.307692307692307</v>
      </c>
      <c r="M31" s="4" t="s">
        <v>67</v>
      </c>
      <c r="N31" s="11">
        <v>4.4444444444444446</v>
      </c>
    </row>
    <row r="32" spans="4:14" x14ac:dyDescent="0.3">
      <c r="D32" s="4" t="s">
        <v>68</v>
      </c>
      <c r="E32" s="11">
        <v>20</v>
      </c>
      <c r="I32" s="4" t="s">
        <v>68</v>
      </c>
      <c r="J32" s="2">
        <v>38.5</v>
      </c>
      <c r="M32" s="4" t="s">
        <v>68</v>
      </c>
      <c r="N32" s="11">
        <v>4.8571428571428568</v>
      </c>
    </row>
    <row r="33" spans="1:14" x14ac:dyDescent="0.3">
      <c r="D33" s="4" t="s">
        <v>69</v>
      </c>
      <c r="E33" s="11">
        <v>15</v>
      </c>
      <c r="I33" s="4" t="s">
        <v>69</v>
      </c>
      <c r="J33" s="2">
        <v>35.333333333333336</v>
      </c>
      <c r="M33" s="4" t="s">
        <v>69</v>
      </c>
      <c r="N33" s="11">
        <v>5.5714285714285712</v>
      </c>
    </row>
    <row r="34" spans="1:14" x14ac:dyDescent="0.3">
      <c r="D34" s="4" t="s">
        <v>70</v>
      </c>
      <c r="E34" s="11">
        <v>19</v>
      </c>
      <c r="I34" s="4" t="s">
        <v>70</v>
      </c>
      <c r="J34" s="2">
        <v>32.421052631578945</v>
      </c>
      <c r="M34" s="4" t="s">
        <v>70</v>
      </c>
      <c r="N34" s="11">
        <v>6</v>
      </c>
    </row>
    <row r="35" spans="1:14" x14ac:dyDescent="0.3">
      <c r="D35" s="4" t="s">
        <v>5</v>
      </c>
      <c r="E35" s="11">
        <v>519</v>
      </c>
      <c r="I35" s="4" t="s">
        <v>5</v>
      </c>
      <c r="J35" s="2">
        <v>35.809248554913296</v>
      </c>
      <c r="M35" s="4" t="s">
        <v>5</v>
      </c>
      <c r="N35" s="2">
        <v>5.1455696202531644</v>
      </c>
    </row>
    <row r="36" spans="1:14" x14ac:dyDescent="0.3">
      <c r="J36" s="2"/>
    </row>
    <row r="37" spans="1:14" x14ac:dyDescent="0.3">
      <c r="A37" s="1" t="s">
        <v>4</v>
      </c>
      <c r="B37" t="s">
        <v>11</v>
      </c>
      <c r="C37" t="s">
        <v>12</v>
      </c>
      <c r="J37" s="2"/>
    </row>
    <row r="38" spans="1:14" x14ac:dyDescent="0.3">
      <c r="A38" s="4" t="s">
        <v>9</v>
      </c>
      <c r="B38" s="11">
        <v>266</v>
      </c>
      <c r="C38" s="5">
        <v>0.51252408477842004</v>
      </c>
      <c r="E38" s="2"/>
      <c r="J38" s="2"/>
    </row>
    <row r="39" spans="1:14" x14ac:dyDescent="0.3">
      <c r="A39" s="4" t="s">
        <v>10</v>
      </c>
      <c r="B39" s="11">
        <v>253</v>
      </c>
      <c r="C39" s="5">
        <v>0.48747591522157996</v>
      </c>
      <c r="E39" s="2"/>
    </row>
    <row r="40" spans="1:14" x14ac:dyDescent="0.3">
      <c r="A40" s="4" t="s">
        <v>5</v>
      </c>
      <c r="B40" s="11">
        <v>519</v>
      </c>
      <c r="C40" s="5">
        <v>1</v>
      </c>
      <c r="E40" s="2"/>
    </row>
    <row r="43" spans="1:14" x14ac:dyDescent="0.3">
      <c r="A43" s="9" t="s">
        <v>14</v>
      </c>
      <c r="B43" s="9" t="s">
        <v>16</v>
      </c>
      <c r="C43" s="9" t="s">
        <v>15</v>
      </c>
      <c r="D43" s="10"/>
      <c r="E43" s="6"/>
      <c r="F43" s="6"/>
    </row>
    <row r="44" spans="1:14" x14ac:dyDescent="0.3">
      <c r="A44" s="7" t="str">
        <f>A39</f>
        <v>Not admitted</v>
      </c>
      <c r="B44" s="7">
        <f>B39</f>
        <v>253</v>
      </c>
      <c r="C44" s="8">
        <f>C39</f>
        <v>0.48747591522157996</v>
      </c>
    </row>
    <row r="45" spans="1:14" x14ac:dyDescent="0.3">
      <c r="A45" s="7" t="str">
        <f>A38</f>
        <v>Admitted</v>
      </c>
      <c r="B45" s="7">
        <f>B38</f>
        <v>266</v>
      </c>
      <c r="C45" s="8">
        <f>C38</f>
        <v>0.51252408477842004</v>
      </c>
    </row>
    <row r="48" spans="1:14" x14ac:dyDescent="0.3">
      <c r="A48" s="1" t="s">
        <v>4</v>
      </c>
      <c r="B48" t="s">
        <v>13</v>
      </c>
    </row>
    <row r="49" spans="1:2" x14ac:dyDescent="0.3">
      <c r="A49" s="4" t="s">
        <v>17</v>
      </c>
      <c r="B49" s="11">
        <v>73</v>
      </c>
    </row>
    <row r="50" spans="1:2" x14ac:dyDescent="0.3">
      <c r="A50" s="4" t="s">
        <v>18</v>
      </c>
      <c r="B50" s="11">
        <v>64</v>
      </c>
    </row>
    <row r="51" spans="1:2" x14ac:dyDescent="0.3">
      <c r="A51" s="4" t="s">
        <v>19</v>
      </c>
      <c r="B51" s="11">
        <v>74</v>
      </c>
    </row>
    <row r="52" spans="1:2" x14ac:dyDescent="0.3">
      <c r="A52" s="4" t="s">
        <v>20</v>
      </c>
      <c r="B52" s="11">
        <v>71</v>
      </c>
    </row>
    <row r="53" spans="1:2" x14ac:dyDescent="0.3">
      <c r="A53" s="4" t="s">
        <v>21</v>
      </c>
      <c r="B53" s="11">
        <v>58</v>
      </c>
    </row>
    <row r="54" spans="1:2" x14ac:dyDescent="0.3">
      <c r="A54" s="4" t="s">
        <v>22</v>
      </c>
      <c r="B54" s="11">
        <v>68</v>
      </c>
    </row>
    <row r="55" spans="1:2" x14ac:dyDescent="0.3">
      <c r="A55" s="4" t="s">
        <v>23</v>
      </c>
      <c r="B55" s="11">
        <v>62</v>
      </c>
    </row>
    <row r="56" spans="1:2" x14ac:dyDescent="0.3">
      <c r="A56" s="4" t="s">
        <v>24</v>
      </c>
      <c r="B56" s="11">
        <v>49</v>
      </c>
    </row>
    <row r="57" spans="1:2" x14ac:dyDescent="0.3">
      <c r="A57" s="4" t="s">
        <v>5</v>
      </c>
      <c r="B57" s="11">
        <v>519</v>
      </c>
    </row>
    <row r="60" spans="1:2" x14ac:dyDescent="0.3">
      <c r="A60" s="1" t="s">
        <v>4</v>
      </c>
      <c r="B60" t="s">
        <v>27</v>
      </c>
    </row>
    <row r="61" spans="1:2" x14ac:dyDescent="0.3">
      <c r="A61" s="4" t="s">
        <v>25</v>
      </c>
      <c r="B61" s="11">
        <v>324</v>
      </c>
    </row>
    <row r="62" spans="1:2" x14ac:dyDescent="0.3">
      <c r="A62" s="4" t="s">
        <v>26</v>
      </c>
      <c r="B62" s="11">
        <v>195</v>
      </c>
    </row>
    <row r="63" spans="1:2" x14ac:dyDescent="0.3">
      <c r="A63" s="4" t="s">
        <v>5</v>
      </c>
      <c r="B63" s="11">
        <v>519</v>
      </c>
    </row>
    <row r="66" spans="1:2" x14ac:dyDescent="0.3">
      <c r="A66" s="1" t="s">
        <v>4</v>
      </c>
      <c r="B66" t="s">
        <v>30</v>
      </c>
    </row>
    <row r="67" spans="1:2" x14ac:dyDescent="0.3">
      <c r="A67" s="4" t="s">
        <v>28</v>
      </c>
      <c r="B67" s="11">
        <v>254</v>
      </c>
    </row>
    <row r="68" spans="1:2" x14ac:dyDescent="0.3">
      <c r="A68" s="4" t="s">
        <v>29</v>
      </c>
      <c r="B68" s="11">
        <v>265</v>
      </c>
    </row>
    <row r="69" spans="1:2" x14ac:dyDescent="0.3">
      <c r="A69" s="4" t="s">
        <v>5</v>
      </c>
      <c r="B69" s="11">
        <v>519</v>
      </c>
    </row>
    <row r="72" spans="1:2" x14ac:dyDescent="0.3">
      <c r="A72" s="1" t="s">
        <v>4</v>
      </c>
      <c r="B72" t="s">
        <v>39</v>
      </c>
    </row>
    <row r="73" spans="1:2" x14ac:dyDescent="0.3">
      <c r="A73" s="4" t="s">
        <v>38</v>
      </c>
      <c r="B73" s="11">
        <v>3</v>
      </c>
    </row>
    <row r="74" spans="1:2" x14ac:dyDescent="0.3">
      <c r="A74" s="4" t="s">
        <v>32</v>
      </c>
      <c r="B74" s="11">
        <v>8</v>
      </c>
    </row>
    <row r="75" spans="1:2" x14ac:dyDescent="0.3">
      <c r="A75" s="4" t="s">
        <v>31</v>
      </c>
      <c r="B75" s="11">
        <v>11</v>
      </c>
    </row>
    <row r="76" spans="1:2" x14ac:dyDescent="0.3">
      <c r="A76" s="4" t="s">
        <v>37</v>
      </c>
      <c r="B76" s="11">
        <v>15</v>
      </c>
    </row>
    <row r="77" spans="1:2" x14ac:dyDescent="0.3">
      <c r="A77" s="4" t="s">
        <v>34</v>
      </c>
      <c r="B77" s="11">
        <v>16</v>
      </c>
    </row>
    <row r="78" spans="1:2" x14ac:dyDescent="0.3">
      <c r="A78" s="4" t="s">
        <v>36</v>
      </c>
      <c r="B78" s="11">
        <v>51</v>
      </c>
    </row>
    <row r="79" spans="1:2" x14ac:dyDescent="0.3">
      <c r="A79" s="4" t="s">
        <v>33</v>
      </c>
      <c r="B79" s="11">
        <v>102</v>
      </c>
    </row>
    <row r="80" spans="1:2" x14ac:dyDescent="0.3">
      <c r="A80" s="4" t="s">
        <v>35</v>
      </c>
      <c r="B80" s="11">
        <v>313</v>
      </c>
    </row>
    <row r="81" spans="1:2" x14ac:dyDescent="0.3">
      <c r="A81" s="4" t="s">
        <v>5</v>
      </c>
      <c r="B81" s="11">
        <v>519</v>
      </c>
    </row>
    <row r="84" spans="1:2" x14ac:dyDescent="0.3">
      <c r="A84" s="1" t="s">
        <v>4</v>
      </c>
    </row>
    <row r="85" spans="1:2" x14ac:dyDescent="0.3">
      <c r="A85" s="4" t="s">
        <v>71</v>
      </c>
    </row>
    <row r="86" spans="1:2" x14ac:dyDescent="0.3">
      <c r="A86"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FFC0-A8D0-4B73-9409-81C53236BF19}">
  <dimension ref="A1:N15"/>
  <sheetViews>
    <sheetView tabSelected="1" zoomScale="167" zoomScaleNormal="179" workbookViewId="0"/>
  </sheetViews>
  <sheetFormatPr defaultRowHeight="14.4" x14ac:dyDescent="0.3"/>
  <cols>
    <col min="1" max="1" width="8.88671875" customWidth="1"/>
    <col min="3" max="3" width="8.88671875" customWidth="1"/>
    <col min="5" max="5" width="9" customWidth="1"/>
    <col min="8" max="8" width="8.77734375" customWidth="1"/>
    <col min="10" max="10" width="8.88671875" customWidth="1"/>
  </cols>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sheetData>
  <printOptions gridLines="1"/>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09FA-F7F4-44F1-9509-419EB505BF30}">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60786-4D9C-4673-A564-A899839582E0}">
  <dimension ref="A1"/>
  <sheetViews>
    <sheetView zoomScale="170" zoomScaleNormal="17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5685-CC00-427F-9F8C-B51B4FBE5799}">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54A282B-ED37-4FB0-887B-E8B522C225C5}">
  <ds:schemaRefs/>
</ds:datastoreItem>
</file>

<file path=customXml/itemProps2.xml><?xml version="1.0" encoding="utf-8"?>
<ds:datastoreItem xmlns:ds="http://schemas.openxmlformats.org/officeDocument/2006/customXml" ds:itemID="{3C9AEA71-84A0-42EB-AE1F-45874C64AADA}">
  <ds:schemaRefs/>
</ds:datastoreItem>
</file>

<file path=customXml/itemProps3.xml><?xml version="1.0" encoding="utf-8"?>
<ds:datastoreItem xmlns:ds="http://schemas.openxmlformats.org/officeDocument/2006/customXml" ds:itemID="{4395A2B0-DE9C-40C1-8B66-C6F83914DAB2}">
  <ds:schemaRefs/>
</ds:datastoreItem>
</file>

<file path=customXml/itemProps4.xml><?xml version="1.0" encoding="utf-8"?>
<ds:datastoreItem xmlns:ds="http://schemas.openxmlformats.org/officeDocument/2006/customXml" ds:itemID="{B9399E5B-7ECA-4219-BC4D-41E39F029958}">
  <ds:schemaRefs/>
</ds:datastoreItem>
</file>

<file path=customXml/itemProps5.xml><?xml version="1.0" encoding="utf-8"?>
<ds:datastoreItem xmlns:ds="http://schemas.openxmlformats.org/officeDocument/2006/customXml" ds:itemID="{671879C5-A331-47AA-BE4F-85C66C0921D3}">
  <ds:schemaRefs/>
</ds:datastoreItem>
</file>

<file path=customXml/itemProps6.xml><?xml version="1.0" encoding="utf-8"?>
<ds:datastoreItem xmlns:ds="http://schemas.openxmlformats.org/officeDocument/2006/customXml" ds:itemID="{56B62213-D629-4790-903F-0F038475FDC3}">
  <ds:schemaRefs/>
</ds:datastoreItem>
</file>

<file path=customXml/itemProps7.xml><?xml version="1.0" encoding="utf-8"?>
<ds:datastoreItem xmlns:ds="http://schemas.openxmlformats.org/officeDocument/2006/customXml" ds:itemID="{478130AF-814A-475B-BF47-6046C4D90416}">
  <ds:schemaRefs/>
</ds:datastoreItem>
</file>

<file path=customXml/itemProps8.xml><?xml version="1.0" encoding="utf-8"?>
<ds:datastoreItem xmlns:ds="http://schemas.openxmlformats.org/officeDocument/2006/customXml" ds:itemID="{C224AE08-F210-4481-9B42-DBBE83ECD14E}">
  <ds:schemaRefs/>
</ds:datastoreItem>
</file>

<file path=customXml/itemProps9.xml><?xml version="1.0" encoding="utf-8"?>
<ds:datastoreItem xmlns:ds="http://schemas.openxmlformats.org/officeDocument/2006/customXml" ds:itemID="{1CCE7628-CA84-4702-BD7F-1C8827836E84}">
  <ds:schemaRefs/>
</ds:datastoreItem>
</file>

<file path=customXml/itemProps10.xml><?xml version="1.0" encoding="utf-8"?>
<ds:datastoreItem xmlns:ds="http://schemas.openxmlformats.org/officeDocument/2006/customXml" ds:itemID="{AD2031E4-3FC3-47F4-8B0F-F2237B6C7D2F}">
  <ds:schemaRefs/>
</ds:datastoreItem>
</file>

<file path=customXml/itemProps11.xml><?xml version="1.0" encoding="utf-8"?>
<ds:datastoreItem xmlns:ds="http://schemas.openxmlformats.org/officeDocument/2006/customXml" ds:itemID="{9D4C6BD2-9C26-415E-A4F2-EEC4013E6525}">
  <ds:schemaRefs>
    <ds:schemaRef ds:uri="http://schemas.microsoft.com/DataMashup"/>
  </ds:schemaRefs>
</ds:datastoreItem>
</file>

<file path=customXml/itemProps12.xml><?xml version="1.0" encoding="utf-8"?>
<ds:datastoreItem xmlns:ds="http://schemas.openxmlformats.org/officeDocument/2006/customXml" ds:itemID="{350D01B2-7EF7-4B60-9C97-07113929E6FF}">
  <ds:schemaRefs/>
</ds:datastoreItem>
</file>

<file path=customXml/itemProps13.xml><?xml version="1.0" encoding="utf-8"?>
<ds:datastoreItem xmlns:ds="http://schemas.openxmlformats.org/officeDocument/2006/customXml" ds:itemID="{EAFF425A-BC2E-4B3D-BF25-5E12208FBE10}">
  <ds:schemaRefs/>
</ds:datastoreItem>
</file>

<file path=customXml/itemProps14.xml><?xml version="1.0" encoding="utf-8"?>
<ds:datastoreItem xmlns:ds="http://schemas.openxmlformats.org/officeDocument/2006/customXml" ds:itemID="{97757BCB-2CC5-4789-BEF1-E547017C8C1B}">
  <ds:schemaRefs/>
</ds:datastoreItem>
</file>

<file path=customXml/itemProps15.xml><?xml version="1.0" encoding="utf-8"?>
<ds:datastoreItem xmlns:ds="http://schemas.openxmlformats.org/officeDocument/2006/customXml" ds:itemID="{4F7E02FB-B651-4AFE-9BB5-4D9F75448878}">
  <ds:schemaRefs/>
</ds:datastoreItem>
</file>

<file path=customXml/itemProps16.xml><?xml version="1.0" encoding="utf-8"?>
<ds:datastoreItem xmlns:ds="http://schemas.openxmlformats.org/officeDocument/2006/customXml" ds:itemID="{1EEFA401-2FBF-4A33-8AF5-82EC1DD1B669}">
  <ds:schemaRefs/>
</ds:datastoreItem>
</file>

<file path=customXml/itemProps17.xml><?xml version="1.0" encoding="utf-8"?>
<ds:datastoreItem xmlns:ds="http://schemas.openxmlformats.org/officeDocument/2006/customXml" ds:itemID="{6066B528-D382-48A1-932E-A31FA9B3D0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 No</vt:lpstr>
      <vt:lpstr>Avg wait time</vt:lpstr>
      <vt:lpstr>Avg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 Patel</dc:creator>
  <cp:lastModifiedBy>Anshika Patel</cp:lastModifiedBy>
  <dcterms:created xsi:type="dcterms:W3CDTF">2025-09-17T13:38:40Z</dcterms:created>
  <dcterms:modified xsi:type="dcterms:W3CDTF">2026-01-23T05:12:48Z</dcterms:modified>
</cp:coreProperties>
</file>